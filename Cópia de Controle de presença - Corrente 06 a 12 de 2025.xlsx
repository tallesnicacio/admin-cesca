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UBRO 2025" sheetId="1" r:id="rId4"/>
    <sheet state="visible" name="REGISTROS DE ADVERTÊNCIAS " sheetId="2" r:id="rId5"/>
  </sheets>
  <definedNames/>
  <calcPr/>
</workbook>
</file>

<file path=xl/sharedStrings.xml><?xml version="1.0" encoding="utf-8"?>
<sst xmlns="http://schemas.openxmlformats.org/spreadsheetml/2006/main" count="576" uniqueCount="100">
  <si>
    <t>CONTROLE DE FREQUÊNCIA - CESCA 3G</t>
  </si>
  <si>
    <t>Nº</t>
  </si>
  <si>
    <t>Direção</t>
  </si>
  <si>
    <t>Status Atual</t>
  </si>
  <si>
    <t>03/10</t>
  </si>
  <si>
    <t>06/10</t>
  </si>
  <si>
    <t>10/10</t>
  </si>
  <si>
    <t>13/10</t>
  </si>
  <si>
    <t>17/10</t>
  </si>
  <si>
    <t>20/10</t>
  </si>
  <si>
    <t>24/10</t>
  </si>
  <si>
    <t>27/10</t>
  </si>
  <si>
    <t>31/10</t>
  </si>
  <si>
    <t>Observação</t>
  </si>
  <si>
    <t>SEX</t>
  </si>
  <si>
    <t>SEG</t>
  </si>
  <si>
    <t>Fábia</t>
  </si>
  <si>
    <t>Ativo</t>
  </si>
  <si>
    <t>AP</t>
  </si>
  <si>
    <t>Fabíola</t>
  </si>
  <si>
    <t>A</t>
  </si>
  <si>
    <t>Kelly</t>
  </si>
  <si>
    <t>F</t>
  </si>
  <si>
    <t>Lorrayne</t>
  </si>
  <si>
    <t>J</t>
  </si>
  <si>
    <t>Matheus</t>
  </si>
  <si>
    <t>Meire</t>
  </si>
  <si>
    <t>Núbia</t>
  </si>
  <si>
    <t>Rovena</t>
  </si>
  <si>
    <t>Médiuns Correntes</t>
  </si>
  <si>
    <t>Ana Laís Gobbi - Curimba</t>
  </si>
  <si>
    <t>Ana Laura Sordi</t>
  </si>
  <si>
    <t>Ana Paula Mendes de Moraes</t>
  </si>
  <si>
    <t>Beth Novaes</t>
  </si>
  <si>
    <t>Brenda Reis - Camb.</t>
  </si>
  <si>
    <t>Caroline Heringer - Curimba</t>
  </si>
  <si>
    <t>Celia Galvão - Camb.</t>
  </si>
  <si>
    <t>Daniel Rabello - Curimba</t>
  </si>
  <si>
    <t>Daniele Moreira- Curimba</t>
  </si>
  <si>
    <t>Denise de Souza +</t>
  </si>
  <si>
    <t>Djaisa Gomes</t>
  </si>
  <si>
    <t>Dulcineia da Silva Fernandes</t>
  </si>
  <si>
    <t>Erika Santos Batista</t>
  </si>
  <si>
    <t>Evilyn Quintino</t>
  </si>
  <si>
    <t>Gabriela Rodrigues</t>
  </si>
  <si>
    <t>Gabriela Zaupa - Camb.</t>
  </si>
  <si>
    <t>Gleisson Baeta +</t>
  </si>
  <si>
    <t>Helton Gireli</t>
  </si>
  <si>
    <t>Indianara M. J. Santana</t>
  </si>
  <si>
    <t>Isabela Pinheiro - Camb.</t>
  </si>
  <si>
    <t>Isadora Wandenkolk</t>
  </si>
  <si>
    <t>Ívina Oliveira Malaquias</t>
  </si>
  <si>
    <t>Julia Gonzaga</t>
  </si>
  <si>
    <t>Jussara Leandro Ferrari</t>
  </si>
  <si>
    <t>Jussara Lopes</t>
  </si>
  <si>
    <t>Kathe Menezes</t>
  </si>
  <si>
    <t>Keila Silva</t>
  </si>
  <si>
    <t>Lais Hoffman - Camb.</t>
  </si>
  <si>
    <t>Leonardo Mendonça</t>
  </si>
  <si>
    <t>Lilian Torati</t>
  </si>
  <si>
    <t>Lorenza Morandi</t>
  </si>
  <si>
    <t>Afastado</t>
  </si>
  <si>
    <t>Luciana Baeta +</t>
  </si>
  <si>
    <t>Lucileia Reis - Camb.</t>
  </si>
  <si>
    <t>Ludmilla Aguiar</t>
  </si>
  <si>
    <t>Luiza Vasconcelos</t>
  </si>
  <si>
    <t>Luma Lewicki - Curimba</t>
  </si>
  <si>
    <t>Manuela Baeta</t>
  </si>
  <si>
    <t>Marcelo Arifa - Curimba</t>
  </si>
  <si>
    <t>Marina Brandão</t>
  </si>
  <si>
    <t>Marina Damasceno - Curimba</t>
  </si>
  <si>
    <t>Matheus Delunardo - Curimba</t>
  </si>
  <si>
    <t>Mayra Bessoni do Nascimento</t>
  </si>
  <si>
    <t>Natasha Vargas - Camb.</t>
  </si>
  <si>
    <t>Nicole Heringer - Camb.</t>
  </si>
  <si>
    <t>Patricia Rosa Marins - MT1</t>
  </si>
  <si>
    <t>Rafaela da Silva</t>
  </si>
  <si>
    <t>Rafaela Gomes - Camb.</t>
  </si>
  <si>
    <t>Raphaela Tanaka</t>
  </si>
  <si>
    <t>Raquel Cristina Loyola</t>
  </si>
  <si>
    <t>Rayza Gadioli - Camb.</t>
  </si>
  <si>
    <t>Roberta Beatriz Apuleo</t>
  </si>
  <si>
    <t>Rogéria Gonzaga</t>
  </si>
  <si>
    <t>Roseli Moronary - Camb.</t>
  </si>
  <si>
    <t>Sandra de Lima</t>
  </si>
  <si>
    <t>Tamea Rabello</t>
  </si>
  <si>
    <t>Thayná Santos</t>
  </si>
  <si>
    <t>Tuca Pessoa</t>
  </si>
  <si>
    <t>Victor Largura</t>
  </si>
  <si>
    <t>1º VERBAL</t>
  </si>
  <si>
    <t>2º VERBAL</t>
  </si>
  <si>
    <t>3º VERBAL</t>
  </si>
  <si>
    <t>4º VERBAL</t>
  </si>
  <si>
    <t>5º VERBAL</t>
  </si>
  <si>
    <t>Diego Pereira</t>
  </si>
  <si>
    <t>Máyron Simões</t>
  </si>
  <si>
    <t>Paulo Caseira - Curimba</t>
  </si>
  <si>
    <t>Raely Blanck</t>
  </si>
  <si>
    <t>Raquel Leite - Camb.</t>
  </si>
  <si>
    <t>Yasmin Heringer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</si>
</sst>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9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366092"/>
        <bgColor rgb="FF366092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6">
    <border/>
    <border>
      <left/>
      <top/>
      <bottom/>
    </border>
    <border>
      <top/>
      <bottom/>
    </border>
    <border>
      <left/>
      <right/>
      <top/>
    </border>
    <border>
      <left/>
      <right/>
      <top/>
      <bottom/>
    </border>
    <border>
      <left/>
      <right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vertical="center"/>
    </xf>
    <xf borderId="4" fillId="3" fontId="4" numFmtId="49" xfId="0" applyAlignment="1" applyBorder="1" applyFont="1" applyNumberFormat="1">
      <alignment horizontal="center" vertical="center"/>
    </xf>
    <xf borderId="5" fillId="0" fontId="2" numFmtId="0" xfId="0" applyBorder="1" applyFont="1"/>
    <xf borderId="4" fillId="3" fontId="3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Font="1"/>
    <xf borderId="4" fillId="4" fontId="5" numFmtId="0" xfId="0" applyBorder="1" applyFill="1" applyFont="1"/>
    <xf borderId="0" fillId="0" fontId="5" numFmtId="0" xfId="0" applyAlignment="1" applyFont="1">
      <alignment horizontal="center" readingOrder="0"/>
    </xf>
    <xf borderId="3" fillId="3" fontId="3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readingOrder="0"/>
    </xf>
    <xf borderId="3" fillId="3" fontId="4" numFmtId="0" xfId="0" applyAlignment="1" applyBorder="1" applyFont="1">
      <alignment horizontal="center" readingOrder="0" shrinkToFit="0" vertical="center" wrapText="0"/>
    </xf>
    <xf borderId="0" fillId="5" fontId="7" numFmtId="164" xfId="0" applyAlignment="1" applyFill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7" numFmtId="9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99594"/>
          <bgColor rgb="FFD99594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B2A1C7"/>
          <bgColor rgb="FFB2A1C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66675</xdr:rowOff>
    </xdr:from>
    <xdr:ext cx="657225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8.57"/>
    <col customWidth="1" min="3" max="3" width="25.0"/>
    <col customWidth="1" min="4" max="4" width="10.14"/>
    <col customWidth="1" min="5" max="5" width="8.0"/>
    <col customWidth="1" min="6" max="12" width="12.0"/>
    <col customWidth="1" min="13" max="13" width="27.57"/>
    <col customWidth="1" min="14" max="26" width="8.71"/>
  </cols>
  <sheetData>
    <row r="1" ht="5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4.25" customHeight="1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5" t="s">
        <v>13</v>
      </c>
    </row>
    <row r="3" ht="14.25" customHeight="1">
      <c r="A3" s="7"/>
      <c r="B3" s="7"/>
      <c r="C3" s="7"/>
      <c r="D3" s="8" t="s">
        <v>14</v>
      </c>
      <c r="E3" s="8" t="s">
        <v>15</v>
      </c>
      <c r="F3" s="8" t="s">
        <v>14</v>
      </c>
      <c r="G3" s="8" t="s">
        <v>15</v>
      </c>
      <c r="H3" s="8" t="s">
        <v>14</v>
      </c>
      <c r="I3" s="9" t="s">
        <v>15</v>
      </c>
      <c r="J3" s="8" t="s">
        <v>14</v>
      </c>
      <c r="K3" s="9" t="s">
        <v>15</v>
      </c>
      <c r="L3" s="9" t="s">
        <v>14</v>
      </c>
      <c r="M3" s="7"/>
    </row>
    <row r="4" ht="14.25" customHeight="1">
      <c r="A4" s="10">
        <v>2.0</v>
      </c>
      <c r="B4" s="11" t="s">
        <v>16</v>
      </c>
      <c r="C4" s="12" t="s">
        <v>17</v>
      </c>
      <c r="D4" s="13"/>
      <c r="E4" s="13" t="s">
        <v>18</v>
      </c>
      <c r="F4" s="13" t="s">
        <v>18</v>
      </c>
      <c r="G4" s="13" t="s">
        <v>18</v>
      </c>
      <c r="H4" s="13" t="s">
        <v>18</v>
      </c>
      <c r="I4" s="13" t="s">
        <v>18</v>
      </c>
      <c r="J4" s="13"/>
      <c r="K4" s="13"/>
      <c r="L4" s="13"/>
      <c r="M4" s="11" t="str">
        <f t="shared" ref="M4:M11" si="1">IF(AND(C4="Afastado", COUNTIF(D4:L4,"AP")=0), "Não compareceu no mês", IF(AND(C4="Afastado", COUNTIF(D4:L4,"AP")=1), "Compareceu 1x", IF(C4="Afastado", "Compareceu +1x", "")))</f>
        <v/>
      </c>
    </row>
    <row r="5" ht="14.25" customHeight="1">
      <c r="A5" s="10">
        <v>2.0</v>
      </c>
      <c r="B5" s="11" t="s">
        <v>19</v>
      </c>
      <c r="C5" s="12" t="s">
        <v>17</v>
      </c>
      <c r="D5" s="13"/>
      <c r="E5" s="13" t="s">
        <v>20</v>
      </c>
      <c r="F5" s="13" t="s">
        <v>20</v>
      </c>
      <c r="G5" s="13" t="s">
        <v>20</v>
      </c>
      <c r="H5" s="13" t="s">
        <v>20</v>
      </c>
      <c r="I5" s="13" t="s">
        <v>20</v>
      </c>
      <c r="J5" s="13" t="s">
        <v>20</v>
      </c>
      <c r="K5" s="13" t="s">
        <v>20</v>
      </c>
      <c r="L5" s="13" t="s">
        <v>20</v>
      </c>
      <c r="M5" s="11" t="str">
        <f t="shared" si="1"/>
        <v/>
      </c>
    </row>
    <row r="6" ht="18.75" customHeight="1">
      <c r="A6" s="10">
        <v>3.0</v>
      </c>
      <c r="B6" s="11" t="s">
        <v>21</v>
      </c>
      <c r="C6" s="12" t="s">
        <v>17</v>
      </c>
      <c r="D6" s="13"/>
      <c r="E6" s="13" t="s">
        <v>18</v>
      </c>
      <c r="F6" s="13" t="s">
        <v>22</v>
      </c>
      <c r="G6" s="13" t="s">
        <v>22</v>
      </c>
      <c r="H6" s="13" t="s">
        <v>22</v>
      </c>
      <c r="I6" s="13" t="s">
        <v>18</v>
      </c>
      <c r="J6" s="13"/>
      <c r="K6" s="13"/>
      <c r="L6" s="13"/>
      <c r="M6" s="11" t="str">
        <f t="shared" si="1"/>
        <v/>
      </c>
    </row>
    <row r="7" ht="14.25" customHeight="1">
      <c r="A7" s="10">
        <v>4.0</v>
      </c>
      <c r="B7" s="11" t="s">
        <v>23</v>
      </c>
      <c r="C7" s="12" t="s">
        <v>17</v>
      </c>
      <c r="D7" s="13"/>
      <c r="E7" s="13" t="s">
        <v>24</v>
      </c>
      <c r="F7" s="13" t="s">
        <v>18</v>
      </c>
      <c r="G7" s="13" t="s">
        <v>18</v>
      </c>
      <c r="H7" s="13" t="s">
        <v>18</v>
      </c>
      <c r="I7" s="13" t="s">
        <v>18</v>
      </c>
      <c r="J7" s="13"/>
      <c r="K7" s="13"/>
      <c r="L7" s="13"/>
      <c r="M7" s="11" t="str">
        <f t="shared" si="1"/>
        <v/>
      </c>
    </row>
    <row r="8" ht="14.25" customHeight="1">
      <c r="A8" s="10">
        <v>5.0</v>
      </c>
      <c r="B8" s="11" t="s">
        <v>25</v>
      </c>
      <c r="C8" s="12" t="s">
        <v>17</v>
      </c>
      <c r="D8" s="13"/>
      <c r="E8" s="13" t="s">
        <v>18</v>
      </c>
      <c r="F8" s="13" t="s">
        <v>18</v>
      </c>
      <c r="G8" s="13" t="s">
        <v>18</v>
      </c>
      <c r="H8" s="13" t="s">
        <v>18</v>
      </c>
      <c r="I8" s="13" t="s">
        <v>18</v>
      </c>
      <c r="J8" s="13"/>
      <c r="K8" s="13"/>
      <c r="L8" s="13"/>
      <c r="M8" s="11" t="str">
        <f t="shared" si="1"/>
        <v/>
      </c>
    </row>
    <row r="9" ht="14.25" customHeight="1">
      <c r="A9" s="10">
        <v>6.0</v>
      </c>
      <c r="B9" s="11" t="s">
        <v>26</v>
      </c>
      <c r="C9" s="12" t="s">
        <v>17</v>
      </c>
      <c r="D9" s="13"/>
      <c r="E9" s="13" t="s">
        <v>18</v>
      </c>
      <c r="F9" s="13" t="s">
        <v>18</v>
      </c>
      <c r="G9" s="13" t="s">
        <v>18</v>
      </c>
      <c r="H9" s="13" t="s">
        <v>18</v>
      </c>
      <c r="I9" s="13" t="s">
        <v>18</v>
      </c>
      <c r="J9" s="13"/>
      <c r="K9" s="13"/>
      <c r="L9" s="13"/>
      <c r="M9" s="11" t="str">
        <f t="shared" si="1"/>
        <v/>
      </c>
    </row>
    <row r="10" ht="14.25" customHeight="1">
      <c r="A10" s="10">
        <v>7.0</v>
      </c>
      <c r="B10" s="11" t="s">
        <v>27</v>
      </c>
      <c r="C10" s="12" t="s">
        <v>17</v>
      </c>
      <c r="D10" s="13"/>
      <c r="E10" s="13" t="s">
        <v>18</v>
      </c>
      <c r="F10" s="13" t="s">
        <v>18</v>
      </c>
      <c r="G10" s="13" t="s">
        <v>18</v>
      </c>
      <c r="H10" s="13" t="s">
        <v>18</v>
      </c>
      <c r="I10" s="13" t="s">
        <v>18</v>
      </c>
      <c r="J10" s="13"/>
      <c r="K10" s="13"/>
      <c r="L10" s="13"/>
      <c r="M10" s="11" t="str">
        <f t="shared" si="1"/>
        <v/>
      </c>
    </row>
    <row r="11" ht="14.25" customHeight="1">
      <c r="A11" s="10">
        <v>8.0</v>
      </c>
      <c r="B11" s="11" t="s">
        <v>28</v>
      </c>
      <c r="C11" s="12" t="s">
        <v>17</v>
      </c>
      <c r="D11" s="13"/>
      <c r="E11" s="13" t="s">
        <v>18</v>
      </c>
      <c r="F11" s="13" t="s">
        <v>18</v>
      </c>
      <c r="G11" s="13" t="s">
        <v>18</v>
      </c>
      <c r="H11" s="13" t="s">
        <v>18</v>
      </c>
      <c r="I11" s="13" t="s">
        <v>18</v>
      </c>
      <c r="J11" s="13"/>
      <c r="K11" s="13"/>
      <c r="L11" s="13"/>
      <c r="M11" s="11" t="str">
        <f t="shared" si="1"/>
        <v/>
      </c>
    </row>
    <row r="12" ht="14.25" customHeight="1">
      <c r="A12" s="5" t="s">
        <v>1</v>
      </c>
      <c r="B12" s="14" t="s">
        <v>29</v>
      </c>
      <c r="C12" s="5" t="s">
        <v>3</v>
      </c>
      <c r="D12" s="6" t="s">
        <v>4</v>
      </c>
      <c r="E12" s="6" t="s">
        <v>5</v>
      </c>
      <c r="F12" s="6" t="s">
        <v>6</v>
      </c>
      <c r="G12" s="6" t="s">
        <v>7</v>
      </c>
      <c r="H12" s="6" t="s">
        <v>8</v>
      </c>
      <c r="I12" s="6" t="s">
        <v>9</v>
      </c>
      <c r="J12" s="6" t="s">
        <v>10</v>
      </c>
      <c r="K12" s="6" t="s">
        <v>11</v>
      </c>
      <c r="L12" s="6" t="s">
        <v>12</v>
      </c>
      <c r="M12" s="5" t="s">
        <v>13</v>
      </c>
    </row>
    <row r="13" ht="14.25" customHeight="1">
      <c r="A13" s="7"/>
      <c r="B13" s="7"/>
      <c r="C13" s="7"/>
      <c r="D13" s="8" t="s">
        <v>14</v>
      </c>
      <c r="E13" s="8" t="s">
        <v>15</v>
      </c>
      <c r="F13" s="8" t="s">
        <v>14</v>
      </c>
      <c r="G13" s="8" t="s">
        <v>15</v>
      </c>
      <c r="H13" s="8" t="s">
        <v>14</v>
      </c>
      <c r="I13" s="9" t="s">
        <v>15</v>
      </c>
      <c r="J13" s="8" t="s">
        <v>14</v>
      </c>
      <c r="K13" s="9" t="s">
        <v>15</v>
      </c>
      <c r="L13" s="9" t="s">
        <v>14</v>
      </c>
      <c r="M13" s="7"/>
    </row>
    <row r="14" ht="14.25" customHeight="1">
      <c r="A14" s="10">
        <v>9.0</v>
      </c>
      <c r="B14" s="11" t="s">
        <v>30</v>
      </c>
      <c r="C14" s="12" t="s">
        <v>17</v>
      </c>
      <c r="D14" s="13"/>
      <c r="E14" s="13" t="s">
        <v>22</v>
      </c>
      <c r="F14" s="13" t="s">
        <v>18</v>
      </c>
      <c r="G14" s="13" t="s">
        <v>22</v>
      </c>
      <c r="H14" s="13" t="s">
        <v>18</v>
      </c>
      <c r="I14" s="13" t="s">
        <v>22</v>
      </c>
      <c r="J14" s="13"/>
      <c r="K14" s="13"/>
      <c r="L14" s="13"/>
      <c r="M14" s="11" t="str">
        <f t="shared" ref="M14:M71" si="2">IF(AND(C14="Afastado", COUNTIF(D14:L14,"AP")=0), "Não compareceu no mês", IF(AND(C14="Afastado", COUNTIF(D14:L14,"AP")=1), "Compareceu 1x", IF(C14="Afastado", "Compareceu +1x", "")))</f>
        <v/>
      </c>
    </row>
    <row r="15" ht="14.25" customHeight="1">
      <c r="A15" s="10">
        <v>10.0</v>
      </c>
      <c r="B15" s="11" t="s">
        <v>31</v>
      </c>
      <c r="C15" s="12" t="s">
        <v>17</v>
      </c>
      <c r="D15" s="13"/>
      <c r="E15" s="13" t="s">
        <v>18</v>
      </c>
      <c r="F15" s="13" t="s">
        <v>18</v>
      </c>
      <c r="G15" s="13" t="s">
        <v>22</v>
      </c>
      <c r="H15" s="13" t="s">
        <v>18</v>
      </c>
      <c r="I15" s="13" t="s">
        <v>18</v>
      </c>
      <c r="J15" s="13"/>
      <c r="K15" s="13"/>
      <c r="L15" s="13"/>
      <c r="M15" s="11" t="str">
        <f t="shared" si="2"/>
        <v/>
      </c>
    </row>
    <row r="16" ht="14.25" customHeight="1">
      <c r="A16" s="10">
        <v>11.0</v>
      </c>
      <c r="B16" s="11" t="s">
        <v>32</v>
      </c>
      <c r="C16" s="12" t="s">
        <v>17</v>
      </c>
      <c r="D16" s="13"/>
      <c r="E16" s="13" t="s">
        <v>18</v>
      </c>
      <c r="F16" s="13" t="s">
        <v>22</v>
      </c>
      <c r="G16" s="13" t="s">
        <v>18</v>
      </c>
      <c r="H16" s="13" t="s">
        <v>22</v>
      </c>
      <c r="I16" s="13" t="s">
        <v>22</v>
      </c>
      <c r="J16" s="13"/>
      <c r="K16" s="13"/>
      <c r="L16" s="13"/>
      <c r="M16" s="11" t="str">
        <f t="shared" si="2"/>
        <v/>
      </c>
    </row>
    <row r="17" ht="14.25" customHeight="1">
      <c r="A17" s="10">
        <v>12.0</v>
      </c>
      <c r="B17" s="11" t="s">
        <v>33</v>
      </c>
      <c r="C17" s="12" t="s">
        <v>17</v>
      </c>
      <c r="D17" s="13"/>
      <c r="E17" s="13" t="s">
        <v>18</v>
      </c>
      <c r="F17" s="13" t="s">
        <v>18</v>
      </c>
      <c r="G17" s="13" t="s">
        <v>18</v>
      </c>
      <c r="H17" s="13" t="s">
        <v>18</v>
      </c>
      <c r="I17" s="13" t="s">
        <v>18</v>
      </c>
      <c r="J17" s="13"/>
      <c r="K17" s="13"/>
      <c r="L17" s="13"/>
      <c r="M17" s="11" t="str">
        <f t="shared" si="2"/>
        <v/>
      </c>
    </row>
    <row r="18" ht="14.25" customHeight="1">
      <c r="A18" s="10">
        <v>13.0</v>
      </c>
      <c r="B18" s="11" t="s">
        <v>34</v>
      </c>
      <c r="C18" s="12" t="s">
        <v>17</v>
      </c>
      <c r="D18" s="13"/>
      <c r="E18" s="13" t="s">
        <v>18</v>
      </c>
      <c r="F18" s="13" t="s">
        <v>18</v>
      </c>
      <c r="G18" s="13" t="s">
        <v>18</v>
      </c>
      <c r="H18" s="13" t="s">
        <v>18</v>
      </c>
      <c r="I18" s="13" t="s">
        <v>18</v>
      </c>
      <c r="J18" s="13"/>
      <c r="K18" s="13"/>
      <c r="L18" s="13"/>
      <c r="M18" s="11" t="str">
        <f t="shared" si="2"/>
        <v/>
      </c>
    </row>
    <row r="19" ht="14.25" customHeight="1">
      <c r="A19" s="10">
        <v>14.0</v>
      </c>
      <c r="B19" s="11" t="s">
        <v>35</v>
      </c>
      <c r="C19" s="12" t="s">
        <v>17</v>
      </c>
      <c r="D19" s="13"/>
      <c r="E19" s="13" t="s">
        <v>22</v>
      </c>
      <c r="F19" s="13" t="s">
        <v>22</v>
      </c>
      <c r="G19" s="13" t="s">
        <v>22</v>
      </c>
      <c r="H19" s="13" t="s">
        <v>22</v>
      </c>
      <c r="I19" s="13" t="s">
        <v>22</v>
      </c>
      <c r="J19" s="13"/>
      <c r="K19" s="13"/>
      <c r="L19" s="13"/>
      <c r="M19" s="11" t="str">
        <f t="shared" si="2"/>
        <v/>
      </c>
    </row>
    <row r="20" ht="14.25" customHeight="1">
      <c r="A20" s="10">
        <v>15.0</v>
      </c>
      <c r="B20" s="11" t="s">
        <v>36</v>
      </c>
      <c r="C20" s="12" t="s">
        <v>17</v>
      </c>
      <c r="D20" s="13"/>
      <c r="E20" s="13" t="s">
        <v>24</v>
      </c>
      <c r="F20" s="13" t="s">
        <v>24</v>
      </c>
      <c r="G20" s="13" t="s">
        <v>24</v>
      </c>
      <c r="H20" s="13" t="s">
        <v>24</v>
      </c>
      <c r="I20" s="13" t="s">
        <v>22</v>
      </c>
      <c r="J20" s="13"/>
      <c r="K20" s="13"/>
      <c r="L20" s="13"/>
      <c r="M20" s="11" t="str">
        <f t="shared" si="2"/>
        <v/>
      </c>
    </row>
    <row r="21" ht="14.25" customHeight="1">
      <c r="A21" s="10">
        <v>17.0</v>
      </c>
      <c r="B21" s="11" t="s">
        <v>37</v>
      </c>
      <c r="C21" s="12" t="s">
        <v>17</v>
      </c>
      <c r="D21" s="13"/>
      <c r="E21" s="13" t="s">
        <v>24</v>
      </c>
      <c r="F21" s="13" t="s">
        <v>24</v>
      </c>
      <c r="G21" s="13" t="s">
        <v>18</v>
      </c>
      <c r="H21" s="13" t="s">
        <v>22</v>
      </c>
      <c r="I21" s="13" t="s">
        <v>18</v>
      </c>
      <c r="J21" s="13"/>
      <c r="K21" s="13"/>
      <c r="L21" s="13"/>
      <c r="M21" s="11" t="str">
        <f t="shared" si="2"/>
        <v/>
      </c>
    </row>
    <row r="22" ht="14.25" customHeight="1">
      <c r="A22" s="10">
        <v>18.0</v>
      </c>
      <c r="B22" s="11" t="s">
        <v>38</v>
      </c>
      <c r="C22" s="12" t="s">
        <v>17</v>
      </c>
      <c r="D22" s="13"/>
      <c r="E22" s="13" t="s">
        <v>18</v>
      </c>
      <c r="F22" s="13" t="s">
        <v>18</v>
      </c>
      <c r="G22" s="13" t="s">
        <v>22</v>
      </c>
      <c r="H22" s="13" t="s">
        <v>18</v>
      </c>
      <c r="I22" s="13" t="s">
        <v>18</v>
      </c>
      <c r="J22" s="13"/>
      <c r="K22" s="13"/>
      <c r="L22" s="13"/>
      <c r="M22" s="11" t="str">
        <f t="shared" si="2"/>
        <v/>
      </c>
    </row>
    <row r="23" ht="14.25" customHeight="1">
      <c r="A23" s="10">
        <v>19.0</v>
      </c>
      <c r="B23" s="11" t="s">
        <v>39</v>
      </c>
      <c r="C23" s="12" t="s">
        <v>17</v>
      </c>
      <c r="D23" s="13"/>
      <c r="E23" s="13" t="s">
        <v>18</v>
      </c>
      <c r="F23" s="13" t="s">
        <v>22</v>
      </c>
      <c r="G23" s="13" t="s">
        <v>18</v>
      </c>
      <c r="H23" s="13" t="s">
        <v>22</v>
      </c>
      <c r="I23" s="13" t="s">
        <v>18</v>
      </c>
      <c r="J23" s="13"/>
      <c r="K23" s="13"/>
      <c r="L23" s="13"/>
      <c r="M23" s="11" t="str">
        <f t="shared" si="2"/>
        <v/>
      </c>
    </row>
    <row r="24" ht="14.25" customHeight="1">
      <c r="A24" s="10">
        <v>20.0</v>
      </c>
      <c r="B24" s="11" t="s">
        <v>40</v>
      </c>
      <c r="C24" s="12" t="s">
        <v>17</v>
      </c>
      <c r="D24" s="13"/>
      <c r="E24" s="13" t="s">
        <v>22</v>
      </c>
      <c r="F24" s="13" t="s">
        <v>18</v>
      </c>
      <c r="G24" s="13" t="s">
        <v>18</v>
      </c>
      <c r="H24" s="13" t="s">
        <v>22</v>
      </c>
      <c r="I24" s="13" t="s">
        <v>18</v>
      </c>
      <c r="J24" s="13"/>
      <c r="K24" s="13"/>
      <c r="L24" s="13"/>
      <c r="M24" s="11" t="str">
        <f t="shared" si="2"/>
        <v/>
      </c>
    </row>
    <row r="25" ht="14.25" customHeight="1">
      <c r="A25" s="10">
        <v>21.0</v>
      </c>
      <c r="B25" s="11" t="s">
        <v>41</v>
      </c>
      <c r="C25" s="12" t="s">
        <v>17</v>
      </c>
      <c r="D25" s="13"/>
      <c r="E25" s="13" t="s">
        <v>22</v>
      </c>
      <c r="F25" s="13" t="s">
        <v>18</v>
      </c>
      <c r="G25" s="13" t="s">
        <v>22</v>
      </c>
      <c r="H25" s="13" t="s">
        <v>18</v>
      </c>
      <c r="I25" s="13" t="s">
        <v>22</v>
      </c>
      <c r="J25" s="13"/>
      <c r="K25" s="13"/>
      <c r="L25" s="13"/>
      <c r="M25" s="11" t="str">
        <f t="shared" si="2"/>
        <v/>
      </c>
    </row>
    <row r="26" ht="14.25" customHeight="1">
      <c r="A26" s="10">
        <v>22.0</v>
      </c>
      <c r="B26" s="11" t="s">
        <v>42</v>
      </c>
      <c r="C26" s="12" t="s">
        <v>17</v>
      </c>
      <c r="D26" s="13"/>
      <c r="E26" s="13" t="s">
        <v>22</v>
      </c>
      <c r="F26" s="13" t="s">
        <v>22</v>
      </c>
      <c r="G26" s="13" t="s">
        <v>18</v>
      </c>
      <c r="H26" s="13" t="s">
        <v>22</v>
      </c>
      <c r="I26" s="13" t="s">
        <v>22</v>
      </c>
      <c r="J26" s="13"/>
      <c r="K26" s="13"/>
      <c r="L26" s="13"/>
      <c r="M26" s="11" t="str">
        <f t="shared" si="2"/>
        <v/>
      </c>
    </row>
    <row r="27" ht="14.25" customHeight="1">
      <c r="A27" s="10">
        <v>23.0</v>
      </c>
      <c r="B27" s="11" t="s">
        <v>43</v>
      </c>
      <c r="C27" s="12" t="s">
        <v>17</v>
      </c>
      <c r="D27" s="13"/>
      <c r="E27" s="13" t="s">
        <v>22</v>
      </c>
      <c r="F27" s="13" t="s">
        <v>18</v>
      </c>
      <c r="G27" s="13" t="s">
        <v>22</v>
      </c>
      <c r="H27" s="13" t="s">
        <v>18</v>
      </c>
      <c r="I27" s="13" t="s">
        <v>22</v>
      </c>
      <c r="J27" s="13"/>
      <c r="K27" s="13"/>
      <c r="L27" s="13"/>
      <c r="M27" s="11" t="str">
        <f t="shared" si="2"/>
        <v/>
      </c>
    </row>
    <row r="28" ht="14.25" customHeight="1">
      <c r="A28" s="10">
        <v>24.0</v>
      </c>
      <c r="B28" s="11" t="s">
        <v>44</v>
      </c>
      <c r="C28" s="12" t="s">
        <v>17</v>
      </c>
      <c r="D28" s="13"/>
      <c r="E28" s="13" t="s">
        <v>18</v>
      </c>
      <c r="F28" s="13" t="s">
        <v>18</v>
      </c>
      <c r="G28" s="13" t="s">
        <v>18</v>
      </c>
      <c r="H28" s="13" t="s">
        <v>22</v>
      </c>
      <c r="I28" s="13" t="s">
        <v>22</v>
      </c>
      <c r="J28" s="13"/>
      <c r="K28" s="13"/>
      <c r="L28" s="13"/>
      <c r="M28" s="11" t="str">
        <f t="shared" si="2"/>
        <v/>
      </c>
    </row>
    <row r="29" ht="14.25" customHeight="1">
      <c r="A29" s="10">
        <v>25.0</v>
      </c>
      <c r="B29" s="11" t="s">
        <v>45</v>
      </c>
      <c r="C29" s="12" t="s">
        <v>17</v>
      </c>
      <c r="D29" s="13"/>
      <c r="E29" s="13" t="s">
        <v>18</v>
      </c>
      <c r="F29" s="13" t="s">
        <v>18</v>
      </c>
      <c r="G29" s="13" t="s">
        <v>18</v>
      </c>
      <c r="H29" s="13" t="s">
        <v>22</v>
      </c>
      <c r="I29" s="13" t="s">
        <v>22</v>
      </c>
      <c r="J29" s="13"/>
      <c r="K29" s="13"/>
      <c r="L29" s="13"/>
      <c r="M29" s="11" t="str">
        <f t="shared" si="2"/>
        <v/>
      </c>
    </row>
    <row r="30" ht="14.25" customHeight="1">
      <c r="A30" s="10">
        <v>26.0</v>
      </c>
      <c r="B30" s="11" t="s">
        <v>46</v>
      </c>
      <c r="C30" s="12" t="s">
        <v>17</v>
      </c>
      <c r="D30" s="13"/>
      <c r="E30" s="13" t="s">
        <v>22</v>
      </c>
      <c r="F30" s="13" t="s">
        <v>22</v>
      </c>
      <c r="G30" s="13" t="s">
        <v>22</v>
      </c>
      <c r="H30" s="13" t="s">
        <v>18</v>
      </c>
      <c r="I30" s="13" t="s">
        <v>22</v>
      </c>
      <c r="J30" s="13"/>
      <c r="K30" s="13"/>
      <c r="L30" s="13"/>
      <c r="M30" s="11" t="str">
        <f t="shared" si="2"/>
        <v/>
      </c>
    </row>
    <row r="31" ht="14.25" customHeight="1">
      <c r="A31" s="10">
        <v>27.0</v>
      </c>
      <c r="B31" s="11" t="s">
        <v>47</v>
      </c>
      <c r="C31" s="12" t="s">
        <v>17</v>
      </c>
      <c r="D31" s="13"/>
      <c r="E31" s="13" t="s">
        <v>22</v>
      </c>
      <c r="F31" s="13" t="s">
        <v>24</v>
      </c>
      <c r="G31" s="13" t="s">
        <v>22</v>
      </c>
      <c r="H31" s="13" t="s">
        <v>18</v>
      </c>
      <c r="I31" s="13" t="s">
        <v>22</v>
      </c>
      <c r="J31" s="13"/>
      <c r="K31" s="13"/>
      <c r="L31" s="13"/>
      <c r="M31" s="11" t="str">
        <f t="shared" si="2"/>
        <v/>
      </c>
    </row>
    <row r="32" ht="14.25" customHeight="1">
      <c r="A32" s="10">
        <v>29.0</v>
      </c>
      <c r="B32" s="11" t="s">
        <v>48</v>
      </c>
      <c r="C32" s="12" t="s">
        <v>17</v>
      </c>
      <c r="D32" s="13"/>
      <c r="E32" s="13" t="s">
        <v>18</v>
      </c>
      <c r="F32" s="13" t="s">
        <v>18</v>
      </c>
      <c r="G32" s="13" t="s">
        <v>18</v>
      </c>
      <c r="H32" s="13" t="s">
        <v>22</v>
      </c>
      <c r="I32" s="13" t="s">
        <v>18</v>
      </c>
      <c r="J32" s="13"/>
      <c r="K32" s="13"/>
      <c r="L32" s="13"/>
      <c r="M32" s="11" t="str">
        <f t="shared" si="2"/>
        <v/>
      </c>
    </row>
    <row r="33" ht="14.25" customHeight="1">
      <c r="A33" s="10">
        <v>30.0</v>
      </c>
      <c r="B33" s="11" t="s">
        <v>49</v>
      </c>
      <c r="C33" s="12" t="s">
        <v>17</v>
      </c>
      <c r="D33" s="13"/>
      <c r="E33" s="13" t="s">
        <v>18</v>
      </c>
      <c r="F33" s="13" t="s">
        <v>18</v>
      </c>
      <c r="G33" s="13" t="s">
        <v>18</v>
      </c>
      <c r="H33" s="13" t="s">
        <v>22</v>
      </c>
      <c r="I33" s="13" t="s">
        <v>18</v>
      </c>
      <c r="J33" s="13"/>
      <c r="K33" s="13"/>
      <c r="L33" s="13"/>
      <c r="M33" s="11" t="str">
        <f t="shared" si="2"/>
        <v/>
      </c>
    </row>
    <row r="34" ht="14.25" customHeight="1">
      <c r="A34" s="10">
        <v>31.0</v>
      </c>
      <c r="B34" s="11" t="s">
        <v>50</v>
      </c>
      <c r="C34" s="12" t="s">
        <v>17</v>
      </c>
      <c r="D34" s="13"/>
      <c r="E34" s="13" t="s">
        <v>22</v>
      </c>
      <c r="F34" s="13" t="s">
        <v>18</v>
      </c>
      <c r="G34" s="13" t="s">
        <v>18</v>
      </c>
      <c r="H34" s="13" t="s">
        <v>18</v>
      </c>
      <c r="I34" s="13" t="s">
        <v>18</v>
      </c>
      <c r="J34" s="13"/>
      <c r="K34" s="13"/>
      <c r="L34" s="13"/>
      <c r="M34" s="11" t="str">
        <f t="shared" si="2"/>
        <v/>
      </c>
    </row>
    <row r="35" ht="14.25" customHeight="1">
      <c r="A35" s="10">
        <v>32.0</v>
      </c>
      <c r="B35" s="11" t="s">
        <v>51</v>
      </c>
      <c r="C35" s="12" t="s">
        <v>17</v>
      </c>
      <c r="D35" s="13"/>
      <c r="E35" s="13" t="s">
        <v>22</v>
      </c>
      <c r="F35" s="13" t="s">
        <v>18</v>
      </c>
      <c r="G35" s="13" t="s">
        <v>18</v>
      </c>
      <c r="H35" s="13" t="s">
        <v>18</v>
      </c>
      <c r="I35" s="13"/>
      <c r="J35" s="13"/>
      <c r="K35" s="13"/>
      <c r="L35" s="13"/>
      <c r="M35" s="11" t="str">
        <f t="shared" si="2"/>
        <v/>
      </c>
    </row>
    <row r="36" ht="14.25" customHeight="1">
      <c r="A36" s="10">
        <v>33.0</v>
      </c>
      <c r="B36" s="11" t="s">
        <v>52</v>
      </c>
      <c r="C36" s="12" t="s">
        <v>17</v>
      </c>
      <c r="D36" s="13"/>
      <c r="E36" s="13" t="s">
        <v>22</v>
      </c>
      <c r="F36" s="13" t="s">
        <v>24</v>
      </c>
      <c r="G36" s="13" t="s">
        <v>22</v>
      </c>
      <c r="H36" s="13" t="s">
        <v>18</v>
      </c>
      <c r="I36" s="13" t="s">
        <v>18</v>
      </c>
      <c r="J36" s="13"/>
      <c r="K36" s="13"/>
      <c r="L36" s="13"/>
      <c r="M36" s="11" t="str">
        <f t="shared" si="2"/>
        <v/>
      </c>
    </row>
    <row r="37" ht="14.25" customHeight="1">
      <c r="A37" s="10">
        <v>34.0</v>
      </c>
      <c r="B37" s="11" t="s">
        <v>53</v>
      </c>
      <c r="C37" s="12" t="s">
        <v>17</v>
      </c>
      <c r="D37" s="13"/>
      <c r="E37" s="13" t="s">
        <v>18</v>
      </c>
      <c r="F37" s="13" t="s">
        <v>22</v>
      </c>
      <c r="G37" s="13" t="s">
        <v>18</v>
      </c>
      <c r="H37" s="13" t="s">
        <v>18</v>
      </c>
      <c r="I37" s="13" t="s">
        <v>18</v>
      </c>
      <c r="J37" s="13"/>
      <c r="K37" s="13"/>
      <c r="L37" s="13"/>
      <c r="M37" s="11" t="str">
        <f t="shared" si="2"/>
        <v/>
      </c>
    </row>
    <row r="38" ht="14.25" customHeight="1">
      <c r="A38" s="10">
        <v>35.0</v>
      </c>
      <c r="B38" s="11" t="s">
        <v>54</v>
      </c>
      <c r="C38" s="12" t="s">
        <v>17</v>
      </c>
      <c r="D38" s="13"/>
      <c r="E38" s="13" t="s">
        <v>22</v>
      </c>
      <c r="F38" s="13" t="s">
        <v>18</v>
      </c>
      <c r="G38" s="13" t="s">
        <v>18</v>
      </c>
      <c r="H38" s="13" t="s">
        <v>18</v>
      </c>
      <c r="I38" s="13"/>
      <c r="J38" s="13"/>
      <c r="K38" s="13"/>
      <c r="L38" s="13"/>
      <c r="M38" s="11" t="str">
        <f t="shared" si="2"/>
        <v/>
      </c>
    </row>
    <row r="39" ht="14.25" customHeight="1">
      <c r="A39" s="10">
        <v>37.0</v>
      </c>
      <c r="B39" s="11" t="s">
        <v>55</v>
      </c>
      <c r="C39" s="12" t="s">
        <v>17</v>
      </c>
      <c r="D39" s="13"/>
      <c r="E39" s="13" t="s">
        <v>18</v>
      </c>
      <c r="F39" s="13" t="s">
        <v>22</v>
      </c>
      <c r="G39" s="13" t="s">
        <v>18</v>
      </c>
      <c r="H39" s="13" t="s">
        <v>22</v>
      </c>
      <c r="I39" s="13" t="s">
        <v>18</v>
      </c>
      <c r="J39" s="13"/>
      <c r="K39" s="13"/>
      <c r="L39" s="13"/>
      <c r="M39" s="11" t="str">
        <f t="shared" si="2"/>
        <v/>
      </c>
    </row>
    <row r="40" ht="14.25" customHeight="1">
      <c r="A40" s="10">
        <v>38.0</v>
      </c>
      <c r="B40" s="11" t="s">
        <v>56</v>
      </c>
      <c r="C40" s="12" t="s">
        <v>17</v>
      </c>
      <c r="D40" s="13"/>
      <c r="E40" s="13" t="s">
        <v>22</v>
      </c>
      <c r="F40" s="13" t="s">
        <v>22</v>
      </c>
      <c r="G40" s="13" t="s">
        <v>22</v>
      </c>
      <c r="H40" s="13" t="s">
        <v>18</v>
      </c>
      <c r="I40" s="13"/>
      <c r="J40" s="13"/>
      <c r="K40" s="13"/>
      <c r="L40" s="13"/>
      <c r="M40" s="11" t="str">
        <f t="shared" si="2"/>
        <v/>
      </c>
    </row>
    <row r="41" ht="14.25" customHeight="1">
      <c r="A41" s="10">
        <v>39.0</v>
      </c>
      <c r="B41" s="11" t="s">
        <v>57</v>
      </c>
      <c r="C41" s="12" t="s">
        <v>17</v>
      </c>
      <c r="D41" s="13"/>
      <c r="E41" s="13" t="s">
        <v>18</v>
      </c>
      <c r="F41" s="13" t="s">
        <v>18</v>
      </c>
      <c r="G41" s="13" t="s">
        <v>18</v>
      </c>
      <c r="H41" s="13" t="s">
        <v>22</v>
      </c>
      <c r="I41" s="13"/>
      <c r="J41" s="13"/>
      <c r="K41" s="13"/>
      <c r="L41" s="13"/>
      <c r="M41" s="11" t="str">
        <f t="shared" si="2"/>
        <v/>
      </c>
    </row>
    <row r="42" ht="14.25" customHeight="1">
      <c r="A42" s="10">
        <v>40.0</v>
      </c>
      <c r="B42" s="11" t="s">
        <v>58</v>
      </c>
      <c r="C42" s="12" t="s">
        <v>17</v>
      </c>
      <c r="D42" s="13"/>
      <c r="E42" s="13" t="s">
        <v>18</v>
      </c>
      <c r="F42" s="13" t="s">
        <v>22</v>
      </c>
      <c r="G42" s="13" t="s">
        <v>24</v>
      </c>
      <c r="H42" s="13" t="s">
        <v>22</v>
      </c>
      <c r="I42" s="13" t="s">
        <v>18</v>
      </c>
      <c r="J42" s="13"/>
      <c r="K42" s="13"/>
      <c r="L42" s="13"/>
      <c r="M42" s="11" t="str">
        <f t="shared" si="2"/>
        <v/>
      </c>
    </row>
    <row r="43" ht="14.25" customHeight="1">
      <c r="A43" s="10">
        <v>41.0</v>
      </c>
      <c r="B43" s="11" t="s">
        <v>59</v>
      </c>
      <c r="C43" s="12" t="s">
        <v>17</v>
      </c>
      <c r="D43" s="13"/>
      <c r="E43" s="13" t="s">
        <v>18</v>
      </c>
      <c r="F43" s="13" t="s">
        <v>22</v>
      </c>
      <c r="G43" s="13" t="s">
        <v>22</v>
      </c>
      <c r="H43" s="13" t="s">
        <v>18</v>
      </c>
      <c r="I43" s="13"/>
      <c r="J43" s="13"/>
      <c r="K43" s="13"/>
      <c r="L43" s="13"/>
      <c r="M43" s="11" t="str">
        <f t="shared" si="2"/>
        <v/>
      </c>
    </row>
    <row r="44" ht="14.25" customHeight="1">
      <c r="A44" s="10">
        <v>42.0</v>
      </c>
      <c r="B44" s="11" t="s">
        <v>60</v>
      </c>
      <c r="C44" s="12" t="s">
        <v>61</v>
      </c>
      <c r="D44" s="10"/>
      <c r="E44" s="13" t="s">
        <v>22</v>
      </c>
      <c r="F44" s="13" t="s">
        <v>22</v>
      </c>
      <c r="G44" s="13" t="s">
        <v>22</v>
      </c>
      <c r="H44" s="13" t="s">
        <v>24</v>
      </c>
      <c r="I44" s="10"/>
      <c r="J44" s="10"/>
      <c r="K44" s="10"/>
      <c r="L44" s="10"/>
      <c r="M44" s="11" t="str">
        <f t="shared" si="2"/>
        <v>Não compareceu no mês</v>
      </c>
    </row>
    <row r="45" ht="14.25" customHeight="1">
      <c r="A45" s="10">
        <v>44.0</v>
      </c>
      <c r="B45" s="11" t="s">
        <v>62</v>
      </c>
      <c r="C45" s="12" t="s">
        <v>17</v>
      </c>
      <c r="D45" s="13"/>
      <c r="E45" s="13" t="s">
        <v>22</v>
      </c>
      <c r="F45" s="13" t="s">
        <v>24</v>
      </c>
      <c r="G45" s="13" t="s">
        <v>22</v>
      </c>
      <c r="H45" s="13" t="s">
        <v>18</v>
      </c>
      <c r="I45" s="13"/>
      <c r="J45" s="13"/>
      <c r="K45" s="13"/>
      <c r="L45" s="13"/>
      <c r="M45" s="11" t="str">
        <f t="shared" si="2"/>
        <v/>
      </c>
    </row>
    <row r="46" ht="14.25" customHeight="1">
      <c r="A46" s="10">
        <v>46.0</v>
      </c>
      <c r="B46" s="11" t="s">
        <v>63</v>
      </c>
      <c r="C46" s="12" t="s">
        <v>17</v>
      </c>
      <c r="D46" s="13"/>
      <c r="E46" s="13" t="s">
        <v>22</v>
      </c>
      <c r="F46" s="13" t="s">
        <v>18</v>
      </c>
      <c r="G46" s="13" t="s">
        <v>22</v>
      </c>
      <c r="H46" s="13" t="s">
        <v>18</v>
      </c>
      <c r="I46" s="13"/>
      <c r="J46" s="13"/>
      <c r="K46" s="13"/>
      <c r="L46" s="13"/>
      <c r="M46" s="11" t="str">
        <f t="shared" si="2"/>
        <v/>
      </c>
    </row>
    <row r="47" ht="14.25" customHeight="1">
      <c r="A47" s="10">
        <v>47.0</v>
      </c>
      <c r="B47" s="11" t="s">
        <v>64</v>
      </c>
      <c r="C47" s="12" t="s">
        <v>17</v>
      </c>
      <c r="D47" s="13"/>
      <c r="E47" s="13" t="s">
        <v>22</v>
      </c>
      <c r="F47" s="13" t="s">
        <v>22</v>
      </c>
      <c r="G47" s="13" t="s">
        <v>22</v>
      </c>
      <c r="H47" s="13" t="s">
        <v>18</v>
      </c>
      <c r="I47" s="13"/>
      <c r="J47" s="13"/>
      <c r="K47" s="13"/>
      <c r="L47" s="13"/>
      <c r="M47" s="11" t="str">
        <f t="shared" si="2"/>
        <v/>
      </c>
    </row>
    <row r="48" ht="14.25" customHeight="1">
      <c r="A48" s="10">
        <v>48.0</v>
      </c>
      <c r="B48" s="11" t="s">
        <v>65</v>
      </c>
      <c r="C48" s="12" t="s">
        <v>17</v>
      </c>
      <c r="D48" s="13"/>
      <c r="E48" s="13" t="s">
        <v>22</v>
      </c>
      <c r="F48" s="13" t="s">
        <v>22</v>
      </c>
      <c r="G48" s="13" t="s">
        <v>18</v>
      </c>
      <c r="H48" s="13" t="s">
        <v>22</v>
      </c>
      <c r="I48" s="13" t="s">
        <v>18</v>
      </c>
      <c r="J48" s="13"/>
      <c r="K48" s="13"/>
      <c r="L48" s="13"/>
      <c r="M48" s="11" t="str">
        <f t="shared" si="2"/>
        <v/>
      </c>
    </row>
    <row r="49" ht="14.25" customHeight="1">
      <c r="A49" s="10">
        <v>49.0</v>
      </c>
      <c r="B49" s="11" t="s">
        <v>66</v>
      </c>
      <c r="C49" s="12" t="s">
        <v>17</v>
      </c>
      <c r="D49" s="13"/>
      <c r="E49" s="13" t="s">
        <v>18</v>
      </c>
      <c r="F49" s="13" t="s">
        <v>22</v>
      </c>
      <c r="G49" s="13" t="s">
        <v>18</v>
      </c>
      <c r="H49" s="13" t="s">
        <v>22</v>
      </c>
      <c r="I49" s="13" t="s">
        <v>18</v>
      </c>
      <c r="J49" s="13"/>
      <c r="K49" s="13"/>
      <c r="L49" s="13"/>
      <c r="M49" s="11" t="str">
        <f t="shared" si="2"/>
        <v/>
      </c>
    </row>
    <row r="50" ht="14.25" customHeight="1">
      <c r="A50" s="10">
        <v>50.0</v>
      </c>
      <c r="B50" s="11" t="s">
        <v>67</v>
      </c>
      <c r="C50" s="12" t="s">
        <v>17</v>
      </c>
      <c r="D50" s="13"/>
      <c r="E50" s="13" t="s">
        <v>22</v>
      </c>
      <c r="F50" s="13" t="s">
        <v>22</v>
      </c>
      <c r="G50" s="13" t="s">
        <v>18</v>
      </c>
      <c r="H50" s="13" t="s">
        <v>18</v>
      </c>
      <c r="I50" s="13" t="s">
        <v>18</v>
      </c>
      <c r="J50" s="13"/>
      <c r="K50" s="13"/>
      <c r="L50" s="13"/>
      <c r="M50" s="11" t="str">
        <f t="shared" si="2"/>
        <v/>
      </c>
    </row>
    <row r="51" ht="14.25" customHeight="1">
      <c r="A51" s="10">
        <v>51.0</v>
      </c>
      <c r="B51" s="11" t="s">
        <v>68</v>
      </c>
      <c r="C51" s="12" t="s">
        <v>17</v>
      </c>
      <c r="D51" s="13"/>
      <c r="E51" s="13" t="s">
        <v>22</v>
      </c>
      <c r="F51" s="13" t="s">
        <v>18</v>
      </c>
      <c r="G51" s="13" t="s">
        <v>22</v>
      </c>
      <c r="H51" s="13" t="s">
        <v>18</v>
      </c>
      <c r="I51" s="13"/>
      <c r="J51" s="13"/>
      <c r="K51" s="13"/>
      <c r="L51" s="13"/>
      <c r="M51" s="11" t="str">
        <f t="shared" si="2"/>
        <v/>
      </c>
    </row>
    <row r="52" ht="14.25" customHeight="1">
      <c r="A52" s="10">
        <v>52.0</v>
      </c>
      <c r="B52" s="11" t="s">
        <v>69</v>
      </c>
      <c r="C52" s="12" t="s">
        <v>17</v>
      </c>
      <c r="D52" s="13"/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18</v>
      </c>
      <c r="J52" s="13" t="s">
        <v>20</v>
      </c>
      <c r="K52" s="13" t="s">
        <v>20</v>
      </c>
      <c r="L52" s="13" t="s">
        <v>20</v>
      </c>
      <c r="M52" s="11" t="str">
        <f t="shared" si="2"/>
        <v/>
      </c>
    </row>
    <row r="53" ht="14.25" customHeight="1">
      <c r="A53" s="10">
        <v>53.0</v>
      </c>
      <c r="B53" s="11" t="s">
        <v>70</v>
      </c>
      <c r="C53" s="15" t="s">
        <v>61</v>
      </c>
      <c r="D53" s="13"/>
      <c r="E53" s="13" t="s">
        <v>18</v>
      </c>
      <c r="F53" s="13" t="s">
        <v>22</v>
      </c>
      <c r="G53" s="13" t="s">
        <v>22</v>
      </c>
      <c r="H53" s="13" t="s">
        <v>20</v>
      </c>
      <c r="I53" s="13"/>
      <c r="J53" s="13"/>
      <c r="K53" s="13"/>
      <c r="L53" s="13"/>
      <c r="M53" s="11" t="str">
        <f t="shared" si="2"/>
        <v>Compareceu 1x</v>
      </c>
    </row>
    <row r="54" ht="14.25" customHeight="1">
      <c r="A54" s="10">
        <v>54.0</v>
      </c>
      <c r="B54" s="11" t="s">
        <v>71</v>
      </c>
      <c r="C54" s="12" t="s">
        <v>17</v>
      </c>
      <c r="D54" s="13"/>
      <c r="E54" s="13" t="s">
        <v>22</v>
      </c>
      <c r="F54" s="13" t="s">
        <v>22</v>
      </c>
      <c r="G54" s="13" t="s">
        <v>22</v>
      </c>
      <c r="H54" s="13" t="s">
        <v>20</v>
      </c>
      <c r="I54" s="13"/>
      <c r="J54" s="13"/>
      <c r="K54" s="13"/>
      <c r="L54" s="13"/>
      <c r="M54" s="11" t="str">
        <f t="shared" si="2"/>
        <v/>
      </c>
    </row>
    <row r="55" ht="14.25" customHeight="1">
      <c r="A55" s="10">
        <v>55.0</v>
      </c>
      <c r="B55" s="11" t="s">
        <v>72</v>
      </c>
      <c r="C55" s="12" t="s">
        <v>17</v>
      </c>
      <c r="D55" s="13"/>
      <c r="E55" s="13" t="s">
        <v>18</v>
      </c>
      <c r="F55" s="13" t="s">
        <v>22</v>
      </c>
      <c r="G55" s="13" t="s">
        <v>22</v>
      </c>
      <c r="H55" s="13" t="s">
        <v>18</v>
      </c>
      <c r="I55" s="13"/>
      <c r="J55" s="13"/>
      <c r="K55" s="13"/>
      <c r="L55" s="13"/>
      <c r="M55" s="11" t="str">
        <f t="shared" si="2"/>
        <v/>
      </c>
    </row>
    <row r="56" ht="14.25" customHeight="1">
      <c r="A56" s="10">
        <v>58.0</v>
      </c>
      <c r="B56" s="11" t="s">
        <v>73</v>
      </c>
      <c r="C56" s="12" t="s">
        <v>17</v>
      </c>
      <c r="D56" s="13"/>
      <c r="E56" s="13" t="s">
        <v>18</v>
      </c>
      <c r="F56" s="13" t="s">
        <v>22</v>
      </c>
      <c r="G56" s="13" t="s">
        <v>22</v>
      </c>
      <c r="H56" s="13" t="s">
        <v>18</v>
      </c>
      <c r="I56" s="13"/>
      <c r="J56" s="13"/>
      <c r="K56" s="13"/>
      <c r="L56" s="13"/>
      <c r="M56" s="11" t="str">
        <f t="shared" si="2"/>
        <v/>
      </c>
    </row>
    <row r="57" ht="14.25" customHeight="1">
      <c r="A57" s="10">
        <v>59.0</v>
      </c>
      <c r="B57" s="11" t="s">
        <v>74</v>
      </c>
      <c r="C57" s="12" t="s">
        <v>17</v>
      </c>
      <c r="D57" s="13"/>
      <c r="E57" s="13" t="s">
        <v>22</v>
      </c>
      <c r="F57" s="13" t="s">
        <v>22</v>
      </c>
      <c r="G57" s="13" t="s">
        <v>22</v>
      </c>
      <c r="H57" s="13" t="s">
        <v>24</v>
      </c>
      <c r="I57" s="13"/>
      <c r="J57" s="13"/>
      <c r="K57" s="13"/>
      <c r="L57" s="13"/>
      <c r="M57" s="11" t="str">
        <f t="shared" si="2"/>
        <v/>
      </c>
    </row>
    <row r="58" ht="14.25" customHeight="1">
      <c r="A58" s="10">
        <v>60.0</v>
      </c>
      <c r="B58" s="11" t="s">
        <v>75</v>
      </c>
      <c r="C58" s="12" t="s">
        <v>17</v>
      </c>
      <c r="D58" s="13"/>
      <c r="E58" s="13" t="s">
        <v>22</v>
      </c>
      <c r="F58" s="13" t="s">
        <v>18</v>
      </c>
      <c r="G58" s="13" t="s">
        <v>22</v>
      </c>
      <c r="H58" s="13" t="s">
        <v>18</v>
      </c>
      <c r="I58" s="13"/>
      <c r="J58" s="13"/>
      <c r="K58" s="13"/>
      <c r="L58" s="13"/>
      <c r="M58" s="11" t="str">
        <f t="shared" si="2"/>
        <v/>
      </c>
    </row>
    <row r="59" ht="14.25" customHeight="1">
      <c r="A59" s="10">
        <v>63.0</v>
      </c>
      <c r="B59" s="11" t="s">
        <v>76</v>
      </c>
      <c r="C59" s="12" t="s">
        <v>17</v>
      </c>
      <c r="D59" s="13"/>
      <c r="E59" s="13" t="s">
        <v>18</v>
      </c>
      <c r="F59" s="13" t="s">
        <v>22</v>
      </c>
      <c r="G59" s="13" t="s">
        <v>18</v>
      </c>
      <c r="H59" s="13" t="s">
        <v>22</v>
      </c>
      <c r="I59" s="13" t="s">
        <v>18</v>
      </c>
      <c r="J59" s="13"/>
      <c r="K59" s="13"/>
      <c r="L59" s="13"/>
      <c r="M59" s="11" t="str">
        <f t="shared" si="2"/>
        <v/>
      </c>
    </row>
    <row r="60" ht="14.25" customHeight="1">
      <c r="A60" s="10">
        <v>64.0</v>
      </c>
      <c r="B60" s="11" t="s">
        <v>77</v>
      </c>
      <c r="C60" s="12" t="s">
        <v>17</v>
      </c>
      <c r="D60" s="13"/>
      <c r="E60" s="13" t="s">
        <v>18</v>
      </c>
      <c r="F60" s="13" t="s">
        <v>22</v>
      </c>
      <c r="G60" s="13" t="s">
        <v>22</v>
      </c>
      <c r="H60" s="13" t="s">
        <v>18</v>
      </c>
      <c r="I60" s="13" t="s">
        <v>18</v>
      </c>
      <c r="J60" s="13"/>
      <c r="K60" s="13"/>
      <c r="L60" s="13"/>
      <c r="M60" s="11" t="str">
        <f t="shared" si="2"/>
        <v/>
      </c>
    </row>
    <row r="61" ht="14.25" customHeight="1">
      <c r="A61" s="10">
        <v>65.0</v>
      </c>
      <c r="B61" s="11" t="s">
        <v>78</v>
      </c>
      <c r="C61" s="12" t="s">
        <v>17</v>
      </c>
      <c r="D61" s="13"/>
      <c r="E61" s="13" t="s">
        <v>18</v>
      </c>
      <c r="F61" s="13" t="s">
        <v>22</v>
      </c>
      <c r="G61" s="13" t="s">
        <v>18</v>
      </c>
      <c r="H61" s="13" t="s">
        <v>22</v>
      </c>
      <c r="I61" s="13" t="s">
        <v>18</v>
      </c>
      <c r="J61" s="13"/>
      <c r="K61" s="13"/>
      <c r="L61" s="13"/>
      <c r="M61" s="11" t="str">
        <f t="shared" si="2"/>
        <v/>
      </c>
    </row>
    <row r="62" ht="14.25" customHeight="1">
      <c r="A62" s="10">
        <v>66.0</v>
      </c>
      <c r="B62" s="11" t="s">
        <v>79</v>
      </c>
      <c r="C62" s="12" t="s">
        <v>17</v>
      </c>
      <c r="D62" s="13"/>
      <c r="E62" s="13" t="s">
        <v>18</v>
      </c>
      <c r="F62" s="13" t="s">
        <v>22</v>
      </c>
      <c r="G62" s="13" t="s">
        <v>18</v>
      </c>
      <c r="H62" s="13" t="s">
        <v>22</v>
      </c>
      <c r="I62" s="13" t="s">
        <v>18</v>
      </c>
      <c r="J62" s="13"/>
      <c r="K62" s="13"/>
      <c r="L62" s="13"/>
      <c r="M62" s="11" t="str">
        <f t="shared" si="2"/>
        <v/>
      </c>
    </row>
    <row r="63" ht="14.25" customHeight="1">
      <c r="A63" s="10">
        <v>68.0</v>
      </c>
      <c r="B63" s="11" t="s">
        <v>80</v>
      </c>
      <c r="C63" s="12" t="s">
        <v>17</v>
      </c>
      <c r="D63" s="13"/>
      <c r="E63" s="13" t="s">
        <v>18</v>
      </c>
      <c r="F63" s="13" t="s">
        <v>18</v>
      </c>
      <c r="G63" s="13" t="s">
        <v>18</v>
      </c>
      <c r="H63" s="13" t="s">
        <v>18</v>
      </c>
      <c r="I63" s="13" t="s">
        <v>18</v>
      </c>
      <c r="J63" s="13"/>
      <c r="K63" s="13"/>
      <c r="L63" s="13"/>
      <c r="M63" s="11" t="str">
        <f t="shared" si="2"/>
        <v/>
      </c>
    </row>
    <row r="64" ht="14.25" customHeight="1">
      <c r="A64" s="10">
        <v>69.0</v>
      </c>
      <c r="B64" s="11" t="s">
        <v>81</v>
      </c>
      <c r="C64" s="12" t="s">
        <v>17</v>
      </c>
      <c r="D64" s="13"/>
      <c r="E64" s="13" t="s">
        <v>18</v>
      </c>
      <c r="F64" s="13" t="s">
        <v>22</v>
      </c>
      <c r="G64" s="13" t="s">
        <v>18</v>
      </c>
      <c r="H64" s="13" t="s">
        <v>22</v>
      </c>
      <c r="I64" s="13"/>
      <c r="J64" s="13"/>
      <c r="K64" s="13"/>
      <c r="L64" s="13"/>
      <c r="M64" s="11" t="str">
        <f t="shared" si="2"/>
        <v/>
      </c>
    </row>
    <row r="65" ht="14.25" customHeight="1">
      <c r="A65" s="10">
        <v>70.0</v>
      </c>
      <c r="B65" s="11" t="s">
        <v>82</v>
      </c>
      <c r="C65" s="12" t="s">
        <v>17</v>
      </c>
      <c r="D65" s="13"/>
      <c r="E65" s="13" t="s">
        <v>18</v>
      </c>
      <c r="F65" s="13" t="s">
        <v>22</v>
      </c>
      <c r="G65" s="13" t="s">
        <v>18</v>
      </c>
      <c r="H65" s="13" t="s">
        <v>18</v>
      </c>
      <c r="I65" s="13" t="s">
        <v>18</v>
      </c>
      <c r="J65" s="13"/>
      <c r="K65" s="13"/>
      <c r="L65" s="13"/>
      <c r="M65" s="11" t="str">
        <f t="shared" si="2"/>
        <v/>
      </c>
    </row>
    <row r="66" ht="14.25" customHeight="1">
      <c r="A66" s="10">
        <v>71.0</v>
      </c>
      <c r="B66" s="11" t="s">
        <v>83</v>
      </c>
      <c r="C66" s="12" t="s">
        <v>17</v>
      </c>
      <c r="D66" s="13"/>
      <c r="E66" s="13" t="s">
        <v>18</v>
      </c>
      <c r="F66" s="13" t="s">
        <v>22</v>
      </c>
      <c r="G66" s="13" t="s">
        <v>18</v>
      </c>
      <c r="H66" s="13" t="s">
        <v>18</v>
      </c>
      <c r="I66" s="13" t="s">
        <v>18</v>
      </c>
      <c r="J66" s="13"/>
      <c r="K66" s="13"/>
      <c r="L66" s="13"/>
      <c r="M66" s="11" t="str">
        <f t="shared" si="2"/>
        <v/>
      </c>
    </row>
    <row r="67" ht="14.25" customHeight="1">
      <c r="A67" s="10">
        <v>72.0</v>
      </c>
      <c r="B67" s="11" t="s">
        <v>84</v>
      </c>
      <c r="C67" s="12" t="s">
        <v>17</v>
      </c>
      <c r="D67" s="13"/>
      <c r="E67" s="13" t="s">
        <v>22</v>
      </c>
      <c r="F67" s="13" t="s">
        <v>24</v>
      </c>
      <c r="G67" s="13" t="s">
        <v>22</v>
      </c>
      <c r="H67" s="13" t="s">
        <v>24</v>
      </c>
      <c r="I67" s="13"/>
      <c r="J67" s="13"/>
      <c r="K67" s="13"/>
      <c r="L67" s="13"/>
      <c r="M67" s="11" t="str">
        <f t="shared" si="2"/>
        <v/>
      </c>
    </row>
    <row r="68" ht="14.25" customHeight="1">
      <c r="A68" s="10">
        <v>73.0</v>
      </c>
      <c r="B68" s="11" t="s">
        <v>85</v>
      </c>
      <c r="C68" s="15" t="s">
        <v>17</v>
      </c>
      <c r="D68" s="13"/>
      <c r="E68" s="13" t="s">
        <v>22</v>
      </c>
      <c r="F68" s="13" t="s">
        <v>18</v>
      </c>
      <c r="G68" s="13" t="s">
        <v>22</v>
      </c>
      <c r="H68" s="13" t="s">
        <v>24</v>
      </c>
      <c r="I68" s="13"/>
      <c r="J68" s="13"/>
      <c r="K68" s="13"/>
      <c r="L68" s="13"/>
      <c r="M68" s="11" t="str">
        <f t="shared" si="2"/>
        <v/>
      </c>
    </row>
    <row r="69" ht="14.25" customHeight="1">
      <c r="A69" s="10">
        <v>74.0</v>
      </c>
      <c r="B69" s="11" t="s">
        <v>86</v>
      </c>
      <c r="C69" s="12" t="s">
        <v>17</v>
      </c>
      <c r="D69" s="13"/>
      <c r="E69" s="13" t="s">
        <v>18</v>
      </c>
      <c r="F69" s="13" t="s">
        <v>22</v>
      </c>
      <c r="G69" s="13" t="s">
        <v>22</v>
      </c>
      <c r="H69" s="13" t="s">
        <v>18</v>
      </c>
      <c r="I69" s="13"/>
      <c r="J69" s="13" t="s">
        <v>18</v>
      </c>
      <c r="K69" s="13"/>
      <c r="L69" s="13"/>
      <c r="M69" s="11" t="str">
        <f t="shared" si="2"/>
        <v/>
      </c>
    </row>
    <row r="70" ht="14.25" customHeight="1">
      <c r="A70" s="10">
        <v>75.0</v>
      </c>
      <c r="B70" s="11" t="s">
        <v>87</v>
      </c>
      <c r="C70" s="12" t="s">
        <v>17</v>
      </c>
      <c r="D70" s="13"/>
      <c r="E70" s="13" t="s">
        <v>20</v>
      </c>
      <c r="F70" s="13" t="s">
        <v>20</v>
      </c>
      <c r="G70" s="13" t="s">
        <v>20</v>
      </c>
      <c r="H70" s="13" t="s">
        <v>20</v>
      </c>
      <c r="I70" s="13"/>
      <c r="J70" s="13"/>
      <c r="K70" s="13"/>
      <c r="L70" s="13"/>
      <c r="M70" s="11" t="str">
        <f t="shared" si="2"/>
        <v/>
      </c>
    </row>
    <row r="71" ht="14.25" customHeight="1">
      <c r="A71" s="10">
        <v>77.0</v>
      </c>
      <c r="B71" s="11" t="s">
        <v>88</v>
      </c>
      <c r="C71" s="12" t="s">
        <v>17</v>
      </c>
      <c r="D71" s="13"/>
      <c r="E71" s="13" t="s">
        <v>22</v>
      </c>
      <c r="F71" s="13" t="s">
        <v>18</v>
      </c>
      <c r="G71" s="13" t="s">
        <v>22</v>
      </c>
      <c r="H71" s="13" t="s">
        <v>24</v>
      </c>
      <c r="I71" s="13"/>
      <c r="J71" s="13"/>
      <c r="K71" s="13"/>
      <c r="L71" s="13"/>
      <c r="M71" s="11" t="str">
        <f t="shared" si="2"/>
        <v/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9">
    <mergeCell ref="M2:M3"/>
    <mergeCell ref="M12:M13"/>
    <mergeCell ref="A1:M1"/>
    <mergeCell ref="A2:A3"/>
    <mergeCell ref="B2:B3"/>
    <mergeCell ref="C2:C3"/>
    <mergeCell ref="A12:A13"/>
    <mergeCell ref="B12:B13"/>
    <mergeCell ref="C12:C13"/>
  </mergeCells>
  <conditionalFormatting sqref="I3:L11 D4:H11 I13:L43 D14:D43 E14:H71 D45:D71 I45:L71">
    <cfRule type="expression" dxfId="0" priority="1">
      <formula>E(I3="AP", $C3="Desligamento Temporário")</formula>
    </cfRule>
  </conditionalFormatting>
  <conditionalFormatting sqref="H3:K3 H13:K13">
    <cfRule type="expression" dxfId="0" priority="2">
      <formula>E(H3="AP", $C3="Desligamento Temporário")</formula>
    </cfRule>
  </conditionalFormatting>
  <conditionalFormatting sqref="G3:J3 G13:J13">
    <cfRule type="expression" dxfId="0" priority="3">
      <formula>E(G3="AP", $C3="Desligamento Temporário")</formula>
    </cfRule>
  </conditionalFormatting>
  <conditionalFormatting sqref="F3:I3 F13:I13">
    <cfRule type="expression" dxfId="0" priority="4">
      <formula>E(F3="AP", $C3="Desligamento Temporário")</formula>
    </cfRule>
  </conditionalFormatting>
  <conditionalFormatting sqref="D3:G3 D13:G13">
    <cfRule type="expression" dxfId="0" priority="5">
      <formula>E(D3="AP", $C3="Desligamento Temporário")</formula>
    </cfRule>
  </conditionalFormatting>
  <conditionalFormatting sqref="D3:F3 D13:F13">
    <cfRule type="expression" dxfId="0" priority="6">
      <formula>E(D3="AP", $C3="Desligamento Temporário")</formula>
    </cfRule>
  </conditionalFormatting>
  <conditionalFormatting sqref="E3:H3 E13:H13">
    <cfRule type="expression" dxfId="0" priority="7">
      <formula>E(E3="AP", $C3="Desligamento Temporário")</formula>
    </cfRule>
  </conditionalFormatting>
  <conditionalFormatting sqref="D3:E3 D13:E13">
    <cfRule type="expression" dxfId="0" priority="8">
      <formula>E(D3="AP", $C3="Desligamento Temporário")</formula>
    </cfRule>
  </conditionalFormatting>
  <conditionalFormatting sqref="D3 D13">
    <cfRule type="expression" dxfId="0" priority="9">
      <formula>E(D3="AP", $C3="Desligamento Temporário")</formula>
    </cfRule>
  </conditionalFormatting>
  <conditionalFormatting sqref="C4:M11 D14:J71 K14:K43 L14:L71 K45:K71">
    <cfRule type="expression" dxfId="1" priority="10" stopIfTrue="1">
      <formula>AND($C4="Afastado", COUNTIF($D4:$L4,"AP")=0)</formula>
    </cfRule>
  </conditionalFormatting>
  <conditionalFormatting sqref="C4:C11">
    <cfRule type="containsText" dxfId="2" priority="11" operator="containsText" text="Desligamento Temporário">
      <formula>NOT(ISERROR(SEARCH(("Desligamento Temporário"),(C4))))</formula>
    </cfRule>
  </conditionalFormatting>
  <conditionalFormatting sqref="C4:C11">
    <cfRule type="containsText" dxfId="3" priority="12" operator="containsText" text="Licenciado">
      <formula>NOT(ISERROR(SEARCH(("Licenciado"),(C4))))</formula>
    </cfRule>
  </conditionalFormatting>
  <conditionalFormatting sqref="C4:C11">
    <cfRule type="containsText" dxfId="4" priority="13" operator="containsText" text="Afastado">
      <formula>NOT(ISERROR(SEARCH(("Afastado"),(C4))))</formula>
    </cfRule>
  </conditionalFormatting>
  <conditionalFormatting sqref="C4:C11">
    <cfRule type="containsText" dxfId="5" priority="14" operator="containsText" text="Ativo">
      <formula>NOT(ISERROR(SEARCH(("Ativo"),(C4))))</formula>
    </cfRule>
  </conditionalFormatting>
  <conditionalFormatting sqref="D4:L11 D14:D43 E14:H71 I14:L43 D45:D71 I45:L71">
    <cfRule type="expression" dxfId="0" priority="15">
      <formula>E(D4="AP", $C3="Desligamento Temporário")</formula>
    </cfRule>
  </conditionalFormatting>
  <conditionalFormatting sqref="E4:E11 E14:E44">
    <cfRule type="expression" dxfId="0" priority="16">
      <formula>E(E4="AP", $C3="Desligamento Temporário")</formula>
    </cfRule>
  </conditionalFormatting>
  <conditionalFormatting sqref="F4:F11 F14:F44">
    <cfRule type="expression" dxfId="0" priority="17">
      <formula>E(F4="AP", $C3="Desligamento Temporário")</formula>
    </cfRule>
  </conditionalFormatting>
  <conditionalFormatting sqref="G4:G11 G14:G44 H44">
    <cfRule type="expression" dxfId="0" priority="18">
      <formula>E(G4="AP", $C3="Desligamento Temporário")</formula>
    </cfRule>
  </conditionalFormatting>
  <conditionalFormatting sqref="H4:H11 H14:H43">
    <cfRule type="expression" dxfId="0" priority="19">
      <formula>E(H4="AP", $C3="Desligamento Temporário")</formula>
    </cfRule>
  </conditionalFormatting>
  <conditionalFormatting sqref="I4:I11 I14:I43">
    <cfRule type="expression" dxfId="0" priority="20">
      <formula>E(I4="AP", $C3="Desligamento Temporário")</formula>
    </cfRule>
  </conditionalFormatting>
  <conditionalFormatting sqref="J4:J11 J14:J43">
    <cfRule type="expression" dxfId="0" priority="21">
      <formula>E(J4="AP", $C3="Desligamento Temporário")</formula>
    </cfRule>
  </conditionalFormatting>
  <conditionalFormatting sqref="L4:L11 L14:L43 D45:L71">
    <cfRule type="expression" dxfId="0" priority="22">
      <formula>E(L4="AP", $C3="Desligamento Temporário")</formula>
    </cfRule>
  </conditionalFormatting>
  <conditionalFormatting sqref="M4:M11">
    <cfRule type="expression" dxfId="0" priority="23">
      <formula>E(M4="AP", $C4="Desligamento Temporário")</formula>
    </cfRule>
  </conditionalFormatting>
  <conditionalFormatting sqref="C15:C71">
    <cfRule type="containsText" dxfId="6" priority="24" operator="containsText" text="Desligamento Temporário">
      <formula>NOT(ISERROR(SEARCH(("Desligamento Temporário"),(C15))))</formula>
    </cfRule>
  </conditionalFormatting>
  <conditionalFormatting sqref="D7:J11 L7:L11 D17:J20 L17:L20 D24:J28 L24:L28 D32:J35 L32:L35 D39:J42 L39:L42 E44 H44">
    <cfRule type="expression" dxfId="1" priority="25" stopIfTrue="1">
      <formula>AND($C7="Afastado", COUNTIF($D7:$L7,"AP")=0)</formula>
    </cfRule>
  </conditionalFormatting>
  <conditionalFormatting sqref="D7:D11 D17:D20 D24:D28 D32:D35 D39:D42">
    <cfRule type="expression" dxfId="0" priority="26">
      <formula>E(D7="AP", $C7="Desligamento Temporário")</formula>
    </cfRule>
  </conditionalFormatting>
  <conditionalFormatting sqref="E7:E11 E17:E20 E24:E28 E32:E35 E39:E42 E44">
    <cfRule type="expression" dxfId="0" priority="27">
      <formula>E(E7="AP", $C7="Desligamento Temporário")</formula>
    </cfRule>
  </conditionalFormatting>
  <conditionalFormatting sqref="F7:F11 F17:F20 F24:F28 F32:F35 F39:F42">
    <cfRule type="expression" dxfId="0" priority="28">
      <formula>E(F7="AP", $C7="Desligamento Temporário")</formula>
    </cfRule>
  </conditionalFormatting>
  <conditionalFormatting sqref="G7:G11 G17:G20 G24:G28 G32:G35 G39:G42 H44">
    <cfRule type="expression" dxfId="0" priority="29">
      <formula>E(G7="AP", $C7="Desligamento Temporário")</formula>
    </cfRule>
  </conditionalFormatting>
  <conditionalFormatting sqref="H7:H11 H17:H20 H24:H28 H32:H35 H39:H42">
    <cfRule type="expression" dxfId="0" priority="30">
      <formula>E(H7="AP", $C7="Desligamento Temporário")</formula>
    </cfRule>
  </conditionalFormatting>
  <conditionalFormatting sqref="I7:I11 I17:I20 I24:I28 I32:I35 I39:I42">
    <cfRule type="expression" dxfId="0" priority="31">
      <formula>E(I7="AP", $C7="Desligamento Temporário")</formula>
    </cfRule>
  </conditionalFormatting>
  <conditionalFormatting sqref="J7:J11 J17:J20 J24:J28 J32:J35 J39:J42">
    <cfRule type="expression" dxfId="0" priority="32">
      <formula>E(J7="AP", $C7="Desligamento Temporário")</formula>
    </cfRule>
  </conditionalFormatting>
  <conditionalFormatting sqref="L7:L11 L17:L20 L24:L28 L32:L35 L39:L42">
    <cfRule type="expression" dxfId="0" priority="33">
      <formula>E(L7="AP", $C7="Desligamento Temporário")</formula>
    </cfRule>
  </conditionalFormatting>
  <conditionalFormatting sqref="E16:E20 E22:E27 E29:E44 E46:E50 E53:E55 E58:E71">
    <cfRule type="expression" dxfId="0" priority="34">
      <formula>E(E16="AP", $C16="Desligamento Temporário")</formula>
    </cfRule>
  </conditionalFormatting>
  <conditionalFormatting sqref="C14">
    <cfRule type="expression" dxfId="1" priority="35" stopIfTrue="1">
      <formula>AND($C14="Afastado", COUNTIF($D14:$L14,"AP")=0)</formula>
    </cfRule>
  </conditionalFormatting>
  <conditionalFormatting sqref="C14">
    <cfRule type="containsText" dxfId="2" priority="36" operator="containsText" text="Desligamento Temporário">
      <formula>NOT(ISERROR(SEARCH(("Desligamento Temporário"),(C14))))</formula>
    </cfRule>
  </conditionalFormatting>
  <conditionalFormatting sqref="C14">
    <cfRule type="containsText" dxfId="3" priority="37" operator="containsText" text="Licenciado">
      <formula>NOT(ISERROR(SEARCH(("Licenciado"),(C14))))</formula>
    </cfRule>
  </conditionalFormatting>
  <conditionalFormatting sqref="C14">
    <cfRule type="containsText" dxfId="4" priority="38" operator="containsText" text="Afastado">
      <formula>NOT(ISERROR(SEARCH(("Afastado"),(C14))))</formula>
    </cfRule>
  </conditionalFormatting>
  <conditionalFormatting sqref="C14">
    <cfRule type="containsText" dxfId="5" priority="39" operator="containsText" text="Ativo">
      <formula>NOT(ISERROR(SEARCH(("Ativo"),(C14))))</formula>
    </cfRule>
  </conditionalFormatting>
  <conditionalFormatting sqref="D15 D21:D22 D27:D28 D30 D33:D35 D37 D39:D40 D42 D45:L68">
    <cfRule type="expression" dxfId="0" priority="40">
      <formula>E(D15="AP", $C15="Desligamento Temporário")</formula>
    </cfRule>
  </conditionalFormatting>
  <conditionalFormatting sqref="E15 E21:E22 E27:E28 E30 E33:E35 E37 E39:E40 E42 E44:E68">
    <cfRule type="expression" dxfId="0" priority="41">
      <formula>E(E15="AP", $C15="Desligamento Temporário")</formula>
    </cfRule>
  </conditionalFormatting>
  <conditionalFormatting sqref="F15 F21:F22 F27:F28 F30 F33:F35 F37 F39:F40 F42 F45:F68">
    <cfRule type="expression" dxfId="0" priority="42">
      <formula>E(F15="AP", $C15="Desligamento Temporário")</formula>
    </cfRule>
  </conditionalFormatting>
  <conditionalFormatting sqref="G15 G21:G22 G27:G28 G30 G33:G35 G37 G39:G40 G42 H44 G45:G68">
    <cfRule type="expression" dxfId="0" priority="43">
      <formula>E(G15="AP", $C15="Desligamento Temporário")</formula>
    </cfRule>
  </conditionalFormatting>
  <conditionalFormatting sqref="H15 H21:H22 H27:H28 H30 H33:H35 H37 H39:H40 H42 H45:H68">
    <cfRule type="expression" dxfId="0" priority="44">
      <formula>E(H15="AP", $C15="Desligamento Temporário")</formula>
    </cfRule>
  </conditionalFormatting>
  <conditionalFormatting sqref="I15 I21:I22 I27:I28 I30 I33:I35 I37 I39:I40 I42 I45:I68">
    <cfRule type="expression" dxfId="0" priority="45">
      <formula>E(I15="AP", $C15="Desligamento Temporário")</formula>
    </cfRule>
  </conditionalFormatting>
  <conditionalFormatting sqref="J15 J21:J22 J27:J28 J30 J33:J35 J37 J39:J40 J42 J45:J68">
    <cfRule type="expression" dxfId="0" priority="46">
      <formula>E(J15="AP", $C15="Desligamento Temporário")</formula>
    </cfRule>
  </conditionalFormatting>
  <conditionalFormatting sqref="L15 L21:L22 L27:L28 L30 L33:L35 L37 L39:L40 L42 L45:L68">
    <cfRule type="expression" dxfId="0" priority="47">
      <formula>E(L15="AP", $C15="Desligamento Temporário")</formula>
    </cfRule>
  </conditionalFormatting>
  <conditionalFormatting sqref="D16:J20 L16:L20 D23:J27 L23:L27 D31:J34 L31:L34 D38:J41 L38:L41 E44">
    <cfRule type="expression" dxfId="1" priority="48" stopIfTrue="1">
      <formula>AND($C16="Afastado", COUNTIF($D16:$L16,"AP")=0)</formula>
    </cfRule>
  </conditionalFormatting>
  <conditionalFormatting sqref="C15:C71">
    <cfRule type="containsText" dxfId="2" priority="49" operator="containsText" text="Desligamento Temporário">
      <formula>NOT(ISERROR(SEARCH(("Desligamento Temporário"),(C15))))</formula>
    </cfRule>
  </conditionalFormatting>
  <conditionalFormatting sqref="C15:C71">
    <cfRule type="containsText" dxfId="3" priority="50" operator="containsText" text="Licenciado">
      <formula>NOT(ISERROR(SEARCH(("Licenciado"),(C15))))</formula>
    </cfRule>
  </conditionalFormatting>
  <conditionalFormatting sqref="C15:C71">
    <cfRule type="containsText" dxfId="4" priority="51" operator="containsText" text="Afastado">
      <formula>NOT(ISERROR(SEARCH(("Afastado"),(C15))))</formula>
    </cfRule>
  </conditionalFormatting>
  <conditionalFormatting sqref="C15:C71">
    <cfRule type="containsText" dxfId="5" priority="52" operator="containsText" text="Ativo">
      <formula>NOT(ISERROR(SEARCH(("Ativo"),(C15))))</formula>
    </cfRule>
  </conditionalFormatting>
  <conditionalFormatting sqref="D16:D20 D22:D27 D29:D44 D46:D50 D53:D55 D58:D71 F68:F71 E69:E71 G69:L71">
    <cfRule type="expression" dxfId="0" priority="53">
      <formula>E(D16="AP", $C16="Desligamento Temporário")</formula>
    </cfRule>
  </conditionalFormatting>
  <conditionalFormatting sqref="F16:F20 F22:F27 F29:F44 F46:F50 F53:F55 F58:F71">
    <cfRule type="expression" dxfId="0" priority="54">
      <formula>E(F16="AP", $C16="Desligamento Temporário")</formula>
    </cfRule>
  </conditionalFormatting>
  <conditionalFormatting sqref="G16:G20 G22:G27 G29:G44 H44 G46:G50 G53:G55 G58:G71">
    <cfRule type="expression" dxfId="0" priority="55">
      <formula>E(G16="AP", $C16="Desligamento Temporário")</formula>
    </cfRule>
  </conditionalFormatting>
  <conditionalFormatting sqref="H16:H20 H22:H27 H29:H44 H46:H50 H53:H55 H58:H71">
    <cfRule type="expression" dxfId="0" priority="56">
      <formula>E(H16="AP", $C16="Desligamento Temporário")</formula>
    </cfRule>
  </conditionalFormatting>
  <conditionalFormatting sqref="I16:I20 I22:I27 I29:I44 I46:I50 I53:I55 I58:I71">
    <cfRule type="expression" dxfId="0" priority="57">
      <formula>E(I16="AP", $C16="Desligamento Temporário")</formula>
    </cfRule>
  </conditionalFormatting>
  <conditionalFormatting sqref="J16:J20 J22:J27 J29:J44 J46:J50 J53:J55 J58:J71">
    <cfRule type="expression" dxfId="0" priority="58">
      <formula>E(J16="AP", $C16="Desligamento Temporário")</formula>
    </cfRule>
  </conditionalFormatting>
  <conditionalFormatting sqref="L16:L20 L22:L27 L29:L71 D45:K71">
    <cfRule type="expression" dxfId="0" priority="59">
      <formula>E(L16="AP", $C16="Desligamento Temporário")</formula>
    </cfRule>
  </conditionalFormatting>
  <conditionalFormatting sqref="C4:C11">
    <cfRule type="containsText" dxfId="6" priority="60" operator="containsText" text="Desligamento Temporário">
      <formula>NOT(ISERROR(SEARCH(("Desligamento Temporário"),(C4))))</formula>
    </cfRule>
  </conditionalFormatting>
  <conditionalFormatting sqref="C15:C71">
    <cfRule type="expression" dxfId="1" priority="61" stopIfTrue="1">
      <formula>AND($C15="Afastado", COUNTIF($D15:$L15,"AP")=0)</formula>
    </cfRule>
  </conditionalFormatting>
  <conditionalFormatting sqref="K4:K11 K14:K71">
    <cfRule type="expression" dxfId="1" priority="62" stopIfTrue="1">
      <formula>AND($C4="Afastado", COUNTIF($D4:$L4,"AP")=0)</formula>
    </cfRule>
  </conditionalFormatting>
  <conditionalFormatting sqref="K4:K11 K14:K43">
    <cfRule type="expression" dxfId="0" priority="63">
      <formula>E(K4="AP", $C3="Desligamento Temporário")</formula>
    </cfRule>
  </conditionalFormatting>
  <conditionalFormatting sqref="K7:K11 K17:K20 K24:K28 K32:K35 K39:K42">
    <cfRule type="expression" dxfId="1" priority="64" stopIfTrue="1">
      <formula>AND($C7="Afastado", COUNTIF($D7:$L7,"AP")=0)</formula>
    </cfRule>
  </conditionalFormatting>
  <conditionalFormatting sqref="K7:K11 K17:K20 K24:K28 K32:K35 K39:K42">
    <cfRule type="expression" dxfId="0" priority="65">
      <formula>E(K7="AP", $C7="Desligamento Temporário")</formula>
    </cfRule>
  </conditionalFormatting>
  <conditionalFormatting sqref="K15 K21:K22 K27:K28 K30 K33:K35 K37 K39:K40 K42 K45:K68">
    <cfRule type="expression" dxfId="0" priority="66">
      <formula>E(K15="AP", $C15="Desligamento Temporário")</formula>
    </cfRule>
  </conditionalFormatting>
  <conditionalFormatting sqref="K16:K20 K23:K27 K31:K34 K38:K41">
    <cfRule type="expression" dxfId="1" priority="67" stopIfTrue="1">
      <formula>AND($C16="Afastado", COUNTIF($D16:$L16,"AP")=0)</formula>
    </cfRule>
  </conditionalFormatting>
  <conditionalFormatting sqref="K16:K20 K22:K27 K29:K44 K46:K50 K53:K55 K58:K71">
    <cfRule type="expression" dxfId="0" priority="68">
      <formula>E(K16="AP", $C16="Desligamento Temporário")</formula>
    </cfRule>
  </conditionalFormatting>
  <conditionalFormatting sqref="D13">
    <cfRule type="expression" dxfId="0" priority="69">
      <formula>E(D13="AP", $C13="Desligamento Temporário")</formula>
    </cfRule>
  </conditionalFormatting>
  <conditionalFormatting sqref="E13">
    <cfRule type="expression" dxfId="0" priority="70">
      <formula>E(E13="AP", $C13="Desligamento Temporário")</formula>
    </cfRule>
  </conditionalFormatting>
  <conditionalFormatting sqref="F13">
    <cfRule type="expression" dxfId="0" priority="71">
      <formula>E(F13="AP", $C13="Desligamento Temporário")</formula>
    </cfRule>
  </conditionalFormatting>
  <conditionalFormatting sqref="G13">
    <cfRule type="expression" dxfId="0" priority="72">
      <formula>E(G13="AP", $C13="Desligamento Temporário")</formula>
    </cfRule>
  </conditionalFormatting>
  <conditionalFormatting sqref="H13">
    <cfRule type="expression" dxfId="0" priority="73">
      <formula>E(H13="AP", $C13="Desligamento Temporário")</formula>
    </cfRule>
  </conditionalFormatting>
  <conditionalFormatting sqref="I13">
    <cfRule type="expression" dxfId="0" priority="74">
      <formula>E(I13="AP", $C13="Desligamento Temporário")</formula>
    </cfRule>
  </conditionalFormatting>
  <conditionalFormatting sqref="J13">
    <cfRule type="expression" dxfId="0" priority="75">
      <formula>E(J13="AP", $C13="Desligamento Temporário")</formula>
    </cfRule>
  </conditionalFormatting>
  <conditionalFormatting sqref="L13">
    <cfRule type="expression" dxfId="0" priority="76">
      <formula>E(L13="AP", $C13="Desligamento Temporário")</formula>
    </cfRule>
  </conditionalFormatting>
  <conditionalFormatting sqref="K13">
    <cfRule type="expression" dxfId="0" priority="77">
      <formula>E(K13="AP", $C13="Desligamento Temporário")</formula>
    </cfRule>
  </conditionalFormatting>
  <conditionalFormatting sqref="D14:J14 L14 D21:J21 L21 D29:J29 L29 D36:J36 L36 D43:E43 F43:G71 H43:J43 L43 D45:E71 H45:L71">
    <cfRule type="expression" dxfId="1" priority="78" stopIfTrue="1">
      <formula>AND($C14="Afastado", COUNTIF($D14:$L14,"AP")=0)</formula>
    </cfRule>
  </conditionalFormatting>
  <conditionalFormatting sqref="D14 D21 D29 D36 D43">
    <cfRule type="expression" dxfId="0" priority="79">
      <formula>E(D14="AP", $C14="Desligamento Temporário")</formula>
    </cfRule>
  </conditionalFormatting>
  <conditionalFormatting sqref="E14 E21 E29 E36 E43">
    <cfRule type="expression" dxfId="0" priority="80">
      <formula>E(E14="AP", $C14="Desligamento Temporário")</formula>
    </cfRule>
  </conditionalFormatting>
  <conditionalFormatting sqref="F14 F21 F29 F36 F43:F44">
    <cfRule type="expression" dxfId="0" priority="81">
      <formula>E(F14="AP", $C14="Desligamento Temporário")</formula>
    </cfRule>
  </conditionalFormatting>
  <conditionalFormatting sqref="G14 G21 G29 G36 G43:G44">
    <cfRule type="expression" dxfId="0" priority="82">
      <formula>E(G14="AP", $C14="Desligamento Temporário")</formula>
    </cfRule>
  </conditionalFormatting>
  <conditionalFormatting sqref="H14 H21 H29 H36 H43">
    <cfRule type="expression" dxfId="0" priority="83">
      <formula>E(H14="AP", $C14="Desligamento Temporário")</formula>
    </cfRule>
  </conditionalFormatting>
  <conditionalFormatting sqref="I14 I21 I29 I36 I43">
    <cfRule type="expression" dxfId="0" priority="84">
      <formula>E(I14="AP", $C14="Desligamento Temporário")</formula>
    </cfRule>
  </conditionalFormatting>
  <conditionalFormatting sqref="J14 J21 J29 J36 J43">
    <cfRule type="expression" dxfId="0" priority="85">
      <formula>E(J14="AP", $C14="Desligamento Temporário")</formula>
    </cfRule>
  </conditionalFormatting>
  <conditionalFormatting sqref="L14 L21 L29 L36 L43 D45:L71">
    <cfRule type="expression" dxfId="0" priority="86">
      <formula>E(L14="AP", $C14="Desligamento Temporário")</formula>
    </cfRule>
  </conditionalFormatting>
  <conditionalFormatting sqref="K14 K21 K29 K36 K43">
    <cfRule type="expression" dxfId="1" priority="87" stopIfTrue="1">
      <formula>AND($C14="Afastado", COUNTIF($D14:$L14,"AP")=0)</formula>
    </cfRule>
  </conditionalFormatting>
  <conditionalFormatting sqref="K14 K21 K29 K36 K43">
    <cfRule type="expression" dxfId="0" priority="88">
      <formula>E(K14="AP", $C14="Desligamento Temporário")</formula>
    </cfRule>
  </conditionalFormatting>
  <conditionalFormatting sqref="M14:M71">
    <cfRule type="expression" dxfId="1" priority="89" stopIfTrue="1">
      <formula>AND($C14="Afastado", COUNTIF($D14:$L14,"AP")=0)</formula>
    </cfRule>
  </conditionalFormatting>
  <conditionalFormatting sqref="M14:M71">
    <cfRule type="expression" dxfId="0" priority="90">
      <formula>E(M14="AP", $C14="Desligamento Temporário")</formula>
    </cfRule>
  </conditionalFormatting>
  <dataValidations>
    <dataValidation type="list" allowBlank="1" showErrorMessage="1" sqref="C4:C11 C14:C71">
      <formula1>"Ativo,Afastado,Licenciado,Desligamento Temporário"</formula1>
    </dataValidation>
    <dataValidation type="list" allowBlank="1" showErrorMessage="1" sqref="D4:L11 D14:L43 E44:H44 D45:L71">
      <formula1>"AP,J,F,A"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57"/>
  </cols>
  <sheetData>
    <row r="1">
      <c r="A1" s="4" t="s">
        <v>2</v>
      </c>
      <c r="B1" s="16" t="s">
        <v>89</v>
      </c>
      <c r="C1" s="16" t="s">
        <v>90</v>
      </c>
      <c r="D1" s="16" t="s">
        <v>91</v>
      </c>
      <c r="E1" s="16" t="s">
        <v>92</v>
      </c>
      <c r="F1" s="16" t="s">
        <v>93</v>
      </c>
    </row>
    <row r="2">
      <c r="A2" s="7"/>
      <c r="B2" s="7"/>
      <c r="C2" s="7"/>
      <c r="D2" s="7"/>
      <c r="E2" s="7"/>
      <c r="F2" s="7"/>
    </row>
    <row r="3">
      <c r="A3" s="11" t="s">
        <v>16</v>
      </c>
    </row>
    <row r="4">
      <c r="A4" s="11" t="s">
        <v>19</v>
      </c>
    </row>
    <row r="5">
      <c r="A5" s="11" t="s">
        <v>21</v>
      </c>
    </row>
    <row r="6">
      <c r="A6" s="11" t="s">
        <v>23</v>
      </c>
    </row>
    <row r="7">
      <c r="A7" s="11" t="s">
        <v>25</v>
      </c>
    </row>
    <row r="8">
      <c r="A8" s="11" t="s">
        <v>26</v>
      </c>
    </row>
    <row r="9">
      <c r="A9" s="11" t="s">
        <v>27</v>
      </c>
    </row>
    <row r="10">
      <c r="A10" s="11" t="s">
        <v>28</v>
      </c>
    </row>
    <row r="11">
      <c r="A11" s="14" t="s">
        <v>29</v>
      </c>
      <c r="B11" s="16" t="s">
        <v>89</v>
      </c>
      <c r="C11" s="16" t="s">
        <v>89</v>
      </c>
      <c r="D11" s="16" t="s">
        <v>89</v>
      </c>
      <c r="E11" s="16" t="s">
        <v>89</v>
      </c>
      <c r="F11" s="16" t="s">
        <v>89</v>
      </c>
    </row>
    <row r="12">
      <c r="A12" s="7"/>
      <c r="B12" s="7"/>
      <c r="C12" s="7"/>
      <c r="D12" s="7"/>
      <c r="E12" s="7"/>
      <c r="F12" s="7"/>
    </row>
    <row r="13">
      <c r="A13" s="11" t="s">
        <v>30</v>
      </c>
    </row>
    <row r="14">
      <c r="A14" s="11" t="s">
        <v>31</v>
      </c>
    </row>
    <row r="15">
      <c r="A15" s="11" t="s">
        <v>32</v>
      </c>
      <c r="B15" s="17">
        <v>45889.0</v>
      </c>
    </row>
    <row r="16">
      <c r="A16" s="11" t="s">
        <v>33</v>
      </c>
    </row>
    <row r="17">
      <c r="A17" s="11" t="s">
        <v>34</v>
      </c>
    </row>
    <row r="18">
      <c r="A18" s="11" t="s">
        <v>35</v>
      </c>
    </row>
    <row r="19">
      <c r="A19" s="11" t="s">
        <v>36</v>
      </c>
    </row>
    <row r="20">
      <c r="A20" s="11" t="s">
        <v>37</v>
      </c>
    </row>
    <row r="21">
      <c r="A21" s="11" t="s">
        <v>38</v>
      </c>
    </row>
    <row r="22">
      <c r="A22" s="11" t="s">
        <v>39</v>
      </c>
    </row>
    <row r="23">
      <c r="A23" s="11" t="s">
        <v>40</v>
      </c>
    </row>
    <row r="24">
      <c r="A24" s="18" t="s">
        <v>94</v>
      </c>
    </row>
    <row r="25">
      <c r="A25" s="11" t="s">
        <v>41</v>
      </c>
    </row>
    <row r="26">
      <c r="A26" s="11" t="s">
        <v>42</v>
      </c>
    </row>
    <row r="27">
      <c r="A27" s="11" t="s">
        <v>43</v>
      </c>
      <c r="B27" s="17">
        <v>45873.0</v>
      </c>
      <c r="C27" s="17">
        <v>45923.0</v>
      </c>
    </row>
    <row r="28">
      <c r="A28" s="11" t="s">
        <v>44</v>
      </c>
    </row>
    <row r="29">
      <c r="A29" s="11" t="s">
        <v>45</v>
      </c>
      <c r="B29" s="17">
        <v>45873.0</v>
      </c>
    </row>
    <row r="30">
      <c r="A30" s="11" t="s">
        <v>46</v>
      </c>
      <c r="B30" s="17">
        <v>45933.0</v>
      </c>
    </row>
    <row r="31">
      <c r="A31" s="11" t="s">
        <v>47</v>
      </c>
    </row>
    <row r="32">
      <c r="A32" s="11" t="s">
        <v>48</v>
      </c>
    </row>
    <row r="33">
      <c r="A33" s="11" t="s">
        <v>49</v>
      </c>
    </row>
    <row r="34">
      <c r="A34" s="11" t="s">
        <v>50</v>
      </c>
    </row>
    <row r="35">
      <c r="A35" s="11" t="s">
        <v>51</v>
      </c>
    </row>
    <row r="36">
      <c r="A36" s="11" t="s">
        <v>52</v>
      </c>
      <c r="B36" s="17">
        <v>45888.0</v>
      </c>
      <c r="C36" s="17">
        <v>45919.0</v>
      </c>
      <c r="D36" s="17">
        <v>45915.0</v>
      </c>
    </row>
    <row r="37">
      <c r="A37" s="11" t="s">
        <v>53</v>
      </c>
    </row>
    <row r="38">
      <c r="A38" s="11" t="s">
        <v>54</v>
      </c>
    </row>
    <row r="39">
      <c r="A39" s="11" t="s">
        <v>55</v>
      </c>
      <c r="B39" s="17">
        <v>45873.0</v>
      </c>
      <c r="C39" s="17">
        <v>45915.0</v>
      </c>
    </row>
    <row r="40">
      <c r="A40" s="11" t="s">
        <v>56</v>
      </c>
    </row>
    <row r="41">
      <c r="A41" s="11" t="s">
        <v>57</v>
      </c>
      <c r="B41" s="17">
        <v>45915.0</v>
      </c>
    </row>
    <row r="42">
      <c r="A42" s="11" t="s">
        <v>58</v>
      </c>
      <c r="I42" s="19"/>
      <c r="J42" s="19"/>
      <c r="K42" s="19"/>
      <c r="L42" s="19"/>
    </row>
    <row r="43">
      <c r="A43" s="11" t="s">
        <v>59</v>
      </c>
      <c r="L43" s="20"/>
    </row>
    <row r="44">
      <c r="A44" s="11" t="s">
        <v>60</v>
      </c>
      <c r="C44" s="17">
        <v>45943.0</v>
      </c>
      <c r="L44" s="20"/>
    </row>
    <row r="45">
      <c r="A45" s="11" t="s">
        <v>62</v>
      </c>
      <c r="L45" s="20"/>
    </row>
    <row r="46">
      <c r="A46" s="11" t="s">
        <v>63</v>
      </c>
      <c r="L46" s="20"/>
    </row>
    <row r="47">
      <c r="A47" s="11" t="s">
        <v>64</v>
      </c>
      <c r="L47" s="21"/>
    </row>
    <row r="48">
      <c r="A48" s="11" t="s">
        <v>65</v>
      </c>
      <c r="B48" s="17">
        <v>45915.0</v>
      </c>
      <c r="C48" s="17">
        <v>45943.0</v>
      </c>
    </row>
    <row r="49">
      <c r="A49" s="11" t="s">
        <v>66</v>
      </c>
    </row>
    <row r="50">
      <c r="A50" s="11" t="s">
        <v>67</v>
      </c>
    </row>
    <row r="51">
      <c r="A51" s="11" t="s">
        <v>68</v>
      </c>
    </row>
    <row r="52">
      <c r="A52" s="11" t="s">
        <v>69</v>
      </c>
    </row>
    <row r="53">
      <c r="A53" s="11" t="s">
        <v>70</v>
      </c>
      <c r="B53" s="17">
        <v>45912.0</v>
      </c>
    </row>
    <row r="54">
      <c r="A54" s="11" t="s">
        <v>71</v>
      </c>
      <c r="B54" s="17">
        <v>45915.0</v>
      </c>
      <c r="C54" s="17">
        <v>45943.0</v>
      </c>
    </row>
    <row r="55">
      <c r="A55" s="11" t="s">
        <v>72</v>
      </c>
    </row>
    <row r="56">
      <c r="A56" s="11" t="s">
        <v>95</v>
      </c>
    </row>
    <row r="57">
      <c r="A57" s="11" t="s">
        <v>73</v>
      </c>
    </row>
    <row r="58">
      <c r="A58" s="11" t="s">
        <v>74</v>
      </c>
      <c r="B58" s="17">
        <v>45943.0</v>
      </c>
    </row>
    <row r="59">
      <c r="A59" s="11" t="s">
        <v>75</v>
      </c>
    </row>
    <row r="60">
      <c r="A60" s="11" t="s">
        <v>96</v>
      </c>
    </row>
    <row r="61">
      <c r="A61" s="11" t="s">
        <v>97</v>
      </c>
    </row>
    <row r="62">
      <c r="A62" s="11" t="s">
        <v>76</v>
      </c>
      <c r="B62" s="17">
        <v>45915.0</v>
      </c>
    </row>
    <row r="63">
      <c r="A63" s="11" t="s">
        <v>77</v>
      </c>
    </row>
    <row r="64">
      <c r="A64" s="11" t="s">
        <v>78</v>
      </c>
    </row>
    <row r="65">
      <c r="A65" s="11" t="s">
        <v>79</v>
      </c>
    </row>
    <row r="66">
      <c r="A66" s="11" t="s">
        <v>98</v>
      </c>
    </row>
    <row r="67">
      <c r="A67" s="11" t="s">
        <v>80</v>
      </c>
    </row>
    <row r="68">
      <c r="A68" s="11" t="s">
        <v>81</v>
      </c>
    </row>
    <row r="69">
      <c r="A69" s="11" t="s">
        <v>82</v>
      </c>
    </row>
    <row r="70">
      <c r="A70" s="11" t="s">
        <v>83</v>
      </c>
    </row>
    <row r="71">
      <c r="A71" s="11" t="s">
        <v>84</v>
      </c>
    </row>
    <row r="72">
      <c r="A72" s="11" t="s">
        <v>85</v>
      </c>
    </row>
    <row r="73">
      <c r="A73" s="11" t="s">
        <v>86</v>
      </c>
    </row>
    <row r="74">
      <c r="A74" s="11" t="s">
        <v>87</v>
      </c>
    </row>
    <row r="75">
      <c r="A75" s="11" t="s">
        <v>88</v>
      </c>
    </row>
    <row r="76">
      <c r="A76" s="11" t="s">
        <v>99</v>
      </c>
    </row>
  </sheetData>
  <mergeCells count="12">
    <mergeCell ref="B11:B12"/>
    <mergeCell ref="C11:C12"/>
    <mergeCell ref="D11:D12"/>
    <mergeCell ref="E11:E12"/>
    <mergeCell ref="A1:A2"/>
    <mergeCell ref="B1:B2"/>
    <mergeCell ref="C1:C2"/>
    <mergeCell ref="D1:D2"/>
    <mergeCell ref="E1:E2"/>
    <mergeCell ref="F1:F2"/>
    <mergeCell ref="A11:A12"/>
    <mergeCell ref="F11:F12"/>
  </mergeCells>
  <drawing r:id="rId1"/>
</worksheet>
</file>